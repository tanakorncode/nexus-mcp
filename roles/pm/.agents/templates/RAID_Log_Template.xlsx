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ำแนะนำ" sheetId="1" state="visible" r:id="rId3"/>
    <sheet name="RAID Log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<sst xmlns="http://schemas.openxmlformats.org/spreadsheetml/2006/main" count="88" uniqueCount="72">
  <si>
    <t xml:space="preserve">RAID Log Template (Risk / Assumption / Issue / Dependency)</t>
  </si>
  <si>
    <t xml:space="preserve">เทมเพลตมาตรฐานสำหรับบันทึกและติดตาม Risk, Assumption, Issue, Dependency ของโครงการในที่เดียว</t>
  </si>
  <si>
    <t xml:space="preserve">RAID คืออะไร</t>
  </si>
  <si>
    <t xml:space="preserve">Risk (R) — เหตุการณ์ที่ "อาจ" เกิดขึ้นในอนาคตและจะกระทบโครงการถ้าเกิดขึ้นจริง เช่น ส่งมอบล่าช้าจนโดนค่าปรับ</t>
  </si>
  <si>
    <t xml:space="preserve">Assumption (A) — สิ่งที่ทีมงาน "สมมติ" ว่าเป็นจริงในการวางแผน โดยยังไม่ได้ยืนยัน หากผิดจากที่สมมติจะกระทบแผนงาน</t>
  </si>
  <si>
    <t xml:space="preserve">Issue (I) — ปัญหาที่ "เกิดขึ้นแล้วจริง" ในปัจจุบันและต้องแก้ไข (ต่างจาก Risk ที่ยังไม่เกิด)</t>
  </si>
  <si>
    <t xml:space="preserve">Dependency (D) — งาน/ข้อมูล/ทรัพยากรจากภายนอกทีม (เช่น ต้องรอข้อมูลจากลูกค้า) ที่โครงการต้องพึ่งพาเพื่อให้เดินหน้าต่อได้</t>
  </si>
  <si>
    <t xml:space="preserve">วิธีใช้งาน</t>
  </si>
  <si>
    <t xml:space="preserve">1. ชีท "RAID Log" — บันทึกทีละรายการ 1 แถว เลือก Type จาก dropdown ก่อน แล้วกรอกรายละเอียด</t>
  </si>
  <si>
    <t xml:space="preserve">2. คอลัมน์ Likelihood / Impact / Risk Score ใช้เฉพาะรายการ Type = Risk เท่านั้น (รายการอื่นเว้นว่างได้)</t>
  </si>
  <si>
    <t xml:space="preserve">3. Risk Score คำนวณอัตโนมัติจาก Likelihood x Impact (High=3, Medium=2, Low=1) และแปลงเป็น Priority ด้วยสูตร ไม่ต้องกรอกเอง</t>
  </si>
  <si>
    <t xml:space="preserve">4. ทบทวน RAID Log เป็นระยะ (เช่น ทุกสัปดาห์) และอัปเดตคอลัมน์ Status</t>
  </si>
  <si>
    <t xml:space="preserve">5. ชีท "Summary" นับจำนวนแยกตาม Type และ Status อัตโนมัติจากชีท RAID Log</t>
  </si>
  <si>
    <t xml:space="preserve">สัญลักษณ์ / คำอธิบาย</t>
  </si>
  <si>
    <t xml:space="preserve">      สีเหลือง = ช่องที่ต้องกรอกข้อมูลเอง (input cells)</t>
  </si>
  <si>
    <t xml:space="preserve">      ตัวเอียงสีเทา = แถวตัวอย่าง (ตัวอย่างรูปแบบข้อมูล) ลบ/แก้ไขเป็นข้อมูลจริงได้</t>
  </si>
  <si>
    <t xml:space="preserve">      แดง = Priority สูง (High) — ต้องติดตามใกล้ชิด</t>
  </si>
  <si>
    <t xml:space="preserve">      เหลืองอำพัน = Priority ปานกลาง (Medium)</t>
  </si>
  <si>
    <t xml:space="preserve">      เขียว = Priority ต่ำ (Low) หรือ Status ปิดแล้ว (Closed/Resolved)</t>
  </si>
  <si>
    <t xml:space="preserve">ID</t>
  </si>
  <si>
    <t xml:space="preserve">Type</t>
  </si>
  <si>
    <t xml:space="preserve">Category</t>
  </si>
  <si>
    <t xml:space="preserve">Description</t>
  </si>
  <si>
    <t xml:space="preserve">Impact if
Unaddressed</t>
  </si>
  <si>
    <t xml:space="preserve">Likelihood
(Risk only)</t>
  </si>
  <si>
    <t xml:space="preserve">Impact
Level</t>
  </si>
  <si>
    <t xml:space="preserve">Risk
Score</t>
  </si>
  <si>
    <t xml:space="preserve">Priority</t>
  </si>
  <si>
    <t xml:space="preserve">Mitigation /
Response Plan</t>
  </si>
  <si>
    <t xml:space="preserve">Owner</t>
  </si>
  <si>
    <t xml:space="preserve">Status</t>
  </si>
  <si>
    <t xml:space="preserve">Date
Raised</t>
  </si>
  <si>
    <t xml:space="preserve">Target /
Resolved Date</t>
  </si>
  <si>
    <t xml:space="preserve">Remarks</t>
  </si>
  <si>
    <t xml:space="preserve">Risk</t>
  </si>
  <si>
    <t xml:space="preserve">ตารางเวลา</t>
  </si>
  <si>
    <t xml:space="preserve">ส่งมอบงวดที่ 3 ล่าช้ากว่ากำหนดในสัญญา</t>
  </si>
  <si>
    <t xml:space="preserve">โดนค่าปรับรายวันสูงสุดในโครงการ และเสี่ยงเข้าเงื่อนไขยกเลิกสัญญาหากสะสมเกิน 10% ของมูลค่าโครงการ</t>
  </si>
  <si>
    <t xml:space="preserve">Medium</t>
  </si>
  <si>
    <t xml:space="preserve">High</t>
  </si>
  <si>
    <t xml:space="preserve">ติดตามความคืบหน้ารายสัปดาห์ เผื่อ buffer เวลาในงานที่มีความเสี่ยงสูง และแจ้งเตือนล่วงหน้าเมื่อพบสัญญาณล่าช้า</t>
  </si>
  <si>
    <t xml:space="preserve">[PM]</t>
  </si>
  <si>
    <t xml:space="preserve">Open</t>
  </si>
  <si>
    <t xml:space="preserve">ตัวอย่าง — แก้ไข/ลบแถวนี้เป็นข้อมูลจริง</t>
  </si>
  <si>
    <t xml:space="preserve">Assumption</t>
  </si>
  <si>
    <t xml:space="preserve">API/ข้อมูล</t>
  </si>
  <si>
    <t xml:space="preserve">สมมติว่าฝั่งลูกค้าจะส่งสิทธิ์เข้าถึง API ภายในกำหนดที่ตกลงกัน</t>
  </si>
  <si>
    <t xml:space="preserve">หากไม่ได้ตามกำหนด งานพัฒนาที่ต้องเชื่อมต่อ API จะเริ่มไม่ได้ตามแผน</t>
  </si>
  <si>
    <t xml:space="preserve">ยืนยันกำหนดการกับลูกค้าเป็นลายลักษณ์อักษร (email/MOM) และติดตามล่วงหน้า 1 สัปดาห์ก่อนถึงกำหนด</t>
  </si>
  <si>
    <t xml:space="preserve">[BA]</t>
  </si>
  <si>
    <t xml:space="preserve">Monitoring</t>
  </si>
  <si>
    <t xml:space="preserve">Issue</t>
  </si>
  <si>
    <t xml:space="preserve">ระบบ/เทคนิค</t>
  </si>
  <si>
    <t xml:space="preserve">Environment สำหรับทดสอบ (SIT) ยังไม่พร้อมใช้งานตามแผน</t>
  </si>
  <si>
    <t xml:space="preserve">ทีม QA เริ่มทดสอบไม่ได้ตามกำหนดในแผนงาน</t>
  </si>
  <si>
    <t xml:space="preserve">ประสาน IT เร่งจัดเตรียม environment และปรับแผนทดสอบชั่วคราวหากจำเป็น</t>
  </si>
  <si>
    <t xml:space="preserve">[Dev Lead]</t>
  </si>
  <si>
    <t xml:space="preserve">Dependency</t>
  </si>
  <si>
    <t xml:space="preserve">ข้อมูลจากลูกค้า</t>
  </si>
  <si>
    <t xml:space="preserve">ต้องรอเกณฑ์การแบ่งกลุ่มลูกค้าจากฝ่ายลูกค้าเพื่อออกแบบ Rich Menu</t>
  </si>
  <si>
    <t xml:space="preserve">ออกแบบ UI ส่วนที่เกี่ยวข้องต่อไม่ได้จนกว่าจะได้ข้อมูล</t>
  </si>
  <si>
    <t xml:space="preserve">ส่งหนังสือ/อีเมลขอข้อมูลอย่างเป็นทางการ พร้อมกำหนดวันที่ต้องการล่วงหน้า</t>
  </si>
  <si>
    <t xml:space="preserve">RAID Log Summary</t>
  </si>
  <si>
    <t xml:space="preserve">แยกตาม Type</t>
  </si>
  <si>
    <t xml:space="preserve">จำนวน</t>
  </si>
  <si>
    <t xml:space="preserve">แยกตาม Priority
(เฉพาะ Risk)</t>
  </si>
  <si>
    <t xml:space="preserve">Low</t>
  </si>
  <si>
    <t xml:space="preserve">แยกตาม Status</t>
  </si>
  <si>
    <t xml:space="preserve">Mitigated</t>
  </si>
  <si>
    <t xml:space="preserve">Resolved</t>
  </si>
  <si>
    <t xml:space="preserve">Closed</t>
  </si>
  <si>
    <t xml:space="preserve">ตัวเลขทั้งหมดเป็นสูตร COUNTIF อ้างอิงชีท RAID Log — อัปเดตอัตโนมัติเมื่อแก้ไขข้อมูล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</si>
</sst>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RAID Items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จำนวน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Summary!$A$4:$A$7</c:f>
              <c:strCache>
                <c:ptCount val="4"/>
                <c:pt idx="0">
                  <c:v>Risk</c:v>
                </c:pt>
                <c:pt idx="1">
                  <c:v>Assumption</c:v>
                </c:pt>
                <c:pt idx="2">
                  <c:v>Issue</c:v>
                </c:pt>
                <c:pt idx="3">
                  <c:v>Dependency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46944758"/>
        <c:axId val="34677406"/>
      </c:barChart>
      <c:catAx>
        <c:axId val="46944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677406"/>
        <c:crosses val="autoZero"/>
        <c:auto val="1"/>
        <c:lblAlgn val="ctr"/>
        <c:lblOffset val="100"/>
        <c:noMultiLvlLbl val="0"/>
      </c:catAx>
      <c:valAx>
        <c:axId val="34677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จำนวน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944758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8</xdr:col>
      <xdr:colOff>511560</xdr:colOff>
      <xdr:row>14</xdr:row>
      <xdr:rowOff>71640</xdr:rowOff>
    </xdr:to>
    <xdr:graphicFrame>
      <xdr:nvGraphicFramePr>
        <xdr:cNvPr id="1" name="Chart 1"/>
        <xdr:cNvGraphicFramePr/>
      </xdr:nvGraphicFramePr>
      <xdr:xfrm>
        <a:off x="2255400" y="4107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23.8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23.85" hidden="false" customHeight="fals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23.85" hidden="false" customHeight="false" outlineLevel="0" collapsed="false">
      <c r="B12" s="4" t="s">
        <v>8</v>
      </c>
    </row>
    <row r="13" customFormat="false" ht="23.85" hidden="false" customHeight="false" outlineLevel="0" collapsed="false">
      <c r="B13" s="4" t="s">
        <v>9</v>
      </c>
    </row>
    <row r="14" customFormat="false" ht="23.8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6" t="s">
        <v>15</v>
      </c>
    </row>
    <row r="21" customFormat="false" ht="15" hidden="false" customHeight="false" outlineLevel="0" collapsed="false">
      <c r="B21" s="7" t="s">
        <v>16</v>
      </c>
    </row>
    <row r="22" customFormat="false" ht="15" hidden="false" customHeight="false" outlineLevel="0" collapsed="false">
      <c r="B22" s="8" t="s">
        <v>17</v>
      </c>
    </row>
    <row r="23" customFormat="false" ht="15" hidden="false" customHeight="false" outlineLevel="0" collapsed="false">
      <c r="B23" s="9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20"/>
  </cols>
  <sheetData>
    <row r="1" customFormat="false" ht="33.75" hidden="false" customHeight="true" outlineLevel="0" collapsed="false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</row>
    <row r="2" customFormat="false" ht="60" hidden="false" customHeight="true" outlineLevel="0" collapsed="false">
      <c r="A2" s="11" t="str">
        <f aca="false">IF(B2="","",VLOOKUP(B2,{"Risk","R";"Assumption","A";"Issue","I";"Dependency","D"},2,0)&amp;TEXT(ROW()-1,"000"))</f>
        <v>R001</v>
      </c>
      <c r="B2" s="11" t="s">
        <v>34</v>
      </c>
      <c r="C2" s="11" t="s">
        <v>35</v>
      </c>
      <c r="D2" s="11" t="s">
        <v>36</v>
      </c>
      <c r="E2" s="11" t="s">
        <v>37</v>
      </c>
      <c r="F2" s="11" t="s">
        <v>38</v>
      </c>
      <c r="G2" s="11" t="s">
        <v>39</v>
      </c>
      <c r="H2" s="11" t="n">
        <f aca="false">IF(OR(F2="",G2=""),"",(IF(F2="High",3,IF(F2="Medium",2,IF(F2="Low",1,0))))*(IF(G2="High",3,IF(G2="Medium",2,IF(G2="Low",1,0)))))</f>
        <v>6</v>
      </c>
      <c r="I2" s="11" t="str">
        <f aca="false">IF(H2="","",IF(H2&gt;=6,"High",IF(H2&gt;=3,"Medium","Low")))</f>
        <v>High</v>
      </c>
      <c r="J2" s="11" t="s">
        <v>40</v>
      </c>
      <c r="K2" s="11" t="s">
        <v>41</v>
      </c>
      <c r="L2" s="11" t="s">
        <v>42</v>
      </c>
      <c r="M2" s="11"/>
      <c r="N2" s="11"/>
      <c r="O2" s="11" t="s">
        <v>43</v>
      </c>
    </row>
    <row r="3" customFormat="false" ht="60" hidden="false" customHeight="true" outlineLevel="0" collapsed="false">
      <c r="A3" s="11" t="str">
        <f aca="false">IF(B3="","",VLOOKUP(B3,{"Risk","R";"Assumption","A";"Issue","I";"Dependency","D"},2,0)&amp;TEXT(ROW()-1,"000"))</f>
        <v>A002</v>
      </c>
      <c r="B3" s="11" t="s">
        <v>44</v>
      </c>
      <c r="C3" s="11" t="s">
        <v>45</v>
      </c>
      <c r="D3" s="11" t="s">
        <v>46</v>
      </c>
      <c r="E3" s="11" t="s">
        <v>47</v>
      </c>
      <c r="F3" s="11"/>
      <c r="G3" s="11"/>
      <c r="H3" s="11" t="str">
        <f aca="false">IF(OR(F3="",G3=""),"",(IF(F3="High",3,IF(F3="Medium",2,IF(F3="Low",1,0))))*(IF(G3="High",3,IF(G3="Medium",2,IF(G3="Low",1,0)))))</f>
        <v/>
      </c>
      <c r="I3" s="11" t="str">
        <f aca="false">IF(H3="","",IF(H3&gt;=6,"High",IF(H3&gt;=3,"Medium","Low")))</f>
        <v/>
      </c>
      <c r="J3" s="11" t="s">
        <v>48</v>
      </c>
      <c r="K3" s="11" t="s">
        <v>49</v>
      </c>
      <c r="L3" s="11" t="s">
        <v>50</v>
      </c>
      <c r="M3" s="11"/>
      <c r="N3" s="11"/>
      <c r="O3" s="11" t="s">
        <v>43</v>
      </c>
    </row>
    <row r="4" customFormat="false" ht="60" hidden="false" customHeight="true" outlineLevel="0" collapsed="false">
      <c r="A4" s="11" t="str">
        <f aca="false">IF(B4="","",VLOOKUP(B4,{"Risk","R";"Assumption","A";"Issue","I";"Dependency","D"},2,0)&amp;TEXT(ROW()-1,"000"))</f>
        <v>I003</v>
      </c>
      <c r="B4" s="11" t="s">
        <v>51</v>
      </c>
      <c r="C4" s="11" t="s">
        <v>52</v>
      </c>
      <c r="D4" s="11" t="s">
        <v>53</v>
      </c>
      <c r="E4" s="11" t="s">
        <v>54</v>
      </c>
      <c r="F4" s="11"/>
      <c r="G4" s="11"/>
      <c r="H4" s="11" t="str">
        <f aca="false">IF(OR(F4="",G4=""),"",(IF(F4="High",3,IF(F4="Medium",2,IF(F4="Low",1,0))))*(IF(G4="High",3,IF(G4="Medium",2,IF(G4="Low",1,0)))))</f>
        <v/>
      </c>
      <c r="I4" s="11" t="str">
        <f aca="false">IF(H4="","",IF(H4&gt;=6,"High",IF(H4&gt;=3,"Medium","Low")))</f>
        <v/>
      </c>
      <c r="J4" s="11" t="s">
        <v>55</v>
      </c>
      <c r="K4" s="11" t="s">
        <v>56</v>
      </c>
      <c r="L4" s="11" t="s">
        <v>42</v>
      </c>
      <c r="M4" s="11"/>
      <c r="N4" s="11"/>
      <c r="O4" s="11" t="s">
        <v>43</v>
      </c>
    </row>
    <row r="5" customFormat="false" ht="60" hidden="false" customHeight="true" outlineLevel="0" collapsed="false">
      <c r="A5" s="11" t="str">
        <f aca="false">IF(B5="","",VLOOKUP(B5,{"Risk","R";"Assumption","A";"Issue","I";"Dependency","D"},2,0)&amp;TEXT(ROW()-1,"000"))</f>
        <v>D004</v>
      </c>
      <c r="B5" s="11" t="s">
        <v>57</v>
      </c>
      <c r="C5" s="11" t="s">
        <v>58</v>
      </c>
      <c r="D5" s="11" t="s">
        <v>59</v>
      </c>
      <c r="E5" s="11" t="s">
        <v>60</v>
      </c>
      <c r="F5" s="11"/>
      <c r="G5" s="11"/>
      <c r="H5" s="11" t="str">
        <f aca="false">IF(OR(F5="",G5=""),"",(IF(F5="High",3,IF(F5="Medium",2,IF(F5="Low",1,0))))*(IF(G5="High",3,IF(G5="Medium",2,IF(G5="Low",1,0)))))</f>
        <v/>
      </c>
      <c r="I5" s="11" t="str">
        <f aca="false">IF(H5="","",IF(H5&gt;=6,"High",IF(H5&gt;=3,"Medium","Low")))</f>
        <v/>
      </c>
      <c r="J5" s="11" t="s">
        <v>61</v>
      </c>
      <c r="K5" s="11" t="s">
        <v>49</v>
      </c>
      <c r="L5" s="11" t="s">
        <v>42</v>
      </c>
      <c r="M5" s="11"/>
      <c r="N5" s="11"/>
      <c r="O5" s="11" t="s">
        <v>43</v>
      </c>
    </row>
    <row r="6" customFormat="false" ht="30" hidden="false" customHeight="true" outlineLevel="0" collapsed="false">
      <c r="A6" s="12" t="str">
        <f aca="false">IF(B6="","",VLOOKUP(B6,{"Risk","R";"Assumption","A";"Issue","I";"Dependency","D"},2,0)&amp;TEXT(ROW()-1,"000"))</f>
        <v/>
      </c>
      <c r="B6" s="13"/>
      <c r="C6" s="13"/>
      <c r="D6" s="13"/>
      <c r="E6" s="13"/>
      <c r="F6" s="13"/>
      <c r="G6" s="13"/>
      <c r="H6" s="14" t="str">
        <f aca="false">IF(OR(F6="",G6=""),"",(IF(F6="High",3,IF(F6="Medium",2,IF(F6="Low",1,0))))*(IF(G6="High",3,IF(G6="Medium",2,IF(G6="Low",1,0)))))</f>
        <v/>
      </c>
      <c r="I6" s="14" t="str">
        <f aca="false">IF(H6="","",IF(H6&gt;=6,"High",IF(H6&gt;=3,"Medium","Low")))</f>
        <v/>
      </c>
      <c r="J6" s="13"/>
      <c r="K6" s="13"/>
      <c r="L6" s="13"/>
      <c r="M6" s="13"/>
      <c r="N6" s="13"/>
      <c r="O6" s="13"/>
    </row>
    <row r="7" customFormat="false" ht="30" hidden="false" customHeight="true" outlineLevel="0" collapsed="false">
      <c r="A7" s="12" t="str">
        <f aca="false">IF(B7="","",VLOOKUP(B7,{"Risk","R";"Assumption","A";"Issue","I";"Dependency","D"},2,0)&amp;TEXT(ROW()-1,"000"))</f>
        <v/>
      </c>
      <c r="B7" s="13"/>
      <c r="C7" s="13"/>
      <c r="D7" s="13"/>
      <c r="E7" s="13"/>
      <c r="F7" s="13"/>
      <c r="G7" s="13"/>
      <c r="H7" s="14" t="str">
        <f aca="false">IF(OR(F7="",G7=""),"",(IF(F7="High",3,IF(F7="Medium",2,IF(F7="Low",1,0))))*(IF(G7="High",3,IF(G7="Medium",2,IF(G7="Low",1,0)))))</f>
        <v/>
      </c>
      <c r="I7" s="14" t="str">
        <f aca="false">IF(H7="","",IF(H7&gt;=6,"High",IF(H7&gt;=3,"Medium","Low")))</f>
        <v/>
      </c>
      <c r="J7" s="13"/>
      <c r="K7" s="13"/>
      <c r="L7" s="13"/>
      <c r="M7" s="13"/>
      <c r="N7" s="13"/>
      <c r="O7" s="13"/>
    </row>
    <row r="8" customFormat="false" ht="30" hidden="false" customHeight="true" outlineLevel="0" collapsed="false">
      <c r="A8" s="12" t="str">
        <f aca="false">IF(B8="","",VLOOKUP(B8,{"Risk","R";"Assumption","A";"Issue","I";"Dependency","D"},2,0)&amp;TEXT(ROW()-1,"000"))</f>
        <v/>
      </c>
      <c r="B8" s="13"/>
      <c r="C8" s="13"/>
      <c r="D8" s="13"/>
      <c r="E8" s="13"/>
      <c r="F8" s="13"/>
      <c r="G8" s="13"/>
      <c r="H8" s="14" t="str">
        <f aca="false">IF(OR(F8="",G8=""),"",(IF(F8="High",3,IF(F8="Medium",2,IF(F8="Low",1,0))))*(IF(G8="High",3,IF(G8="Medium",2,IF(G8="Low",1,0)))))</f>
        <v/>
      </c>
      <c r="I8" s="14" t="str">
        <f aca="false">IF(H8="","",IF(H8&gt;=6,"High",IF(H8&gt;=3,"Medium","Low")))</f>
        <v/>
      </c>
      <c r="J8" s="13"/>
      <c r="K8" s="13"/>
      <c r="L8" s="13"/>
      <c r="M8" s="13"/>
      <c r="N8" s="13"/>
      <c r="O8" s="13"/>
    </row>
    <row r="9" customFormat="false" ht="30" hidden="false" customHeight="true" outlineLevel="0" collapsed="false">
      <c r="A9" s="12" t="str">
        <f aca="false">IF(B9="","",VLOOKUP(B9,{"Risk","R";"Assumption","A";"Issue","I";"Dependency","D"},2,0)&amp;TEXT(ROW()-1,"000"))</f>
        <v/>
      </c>
      <c r="B9" s="13"/>
      <c r="C9" s="13"/>
      <c r="D9" s="13"/>
      <c r="E9" s="13"/>
      <c r="F9" s="13"/>
      <c r="G9" s="13"/>
      <c r="H9" s="14" t="str">
        <f aca="false">IF(OR(F9="",G9=""),"",(IF(F9="High",3,IF(F9="Medium",2,IF(F9="Low",1,0))))*(IF(G9="High",3,IF(G9="Medium",2,IF(G9="Low",1,0)))))</f>
        <v/>
      </c>
      <c r="I9" s="14" t="str">
        <f aca="false">IF(H9="","",IF(H9&gt;=6,"High",IF(H9&gt;=3,"Medium","Low")))</f>
        <v/>
      </c>
      <c r="J9" s="13"/>
      <c r="K9" s="13"/>
      <c r="L9" s="13"/>
      <c r="M9" s="13"/>
      <c r="N9" s="13"/>
      <c r="O9" s="13"/>
    </row>
    <row r="10" customFormat="false" ht="30" hidden="false" customHeight="true" outlineLevel="0" collapsed="false">
      <c r="A10" s="12" t="str">
        <f aca="false">IF(B10="","",VLOOKUP(B10,{"Risk","R";"Assumption","A";"Issue","I";"Dependency","D"},2,0)&amp;TEXT(ROW()-1,"000"))</f>
        <v/>
      </c>
      <c r="B10" s="13"/>
      <c r="C10" s="13"/>
      <c r="D10" s="13"/>
      <c r="E10" s="13"/>
      <c r="F10" s="13"/>
      <c r="G10" s="13"/>
      <c r="H10" s="14" t="str">
        <f aca="false">IF(OR(F10="",G10=""),"",(IF(F10="High",3,IF(F10="Medium",2,IF(F10="Low",1,0))))*(IF(G10="High",3,IF(G10="Medium",2,IF(G10="Low",1,0)))))</f>
        <v/>
      </c>
      <c r="I10" s="14" t="str">
        <f aca="false">IF(H10="","",IF(H10&gt;=6,"High",IF(H10&gt;=3,"Medium","Low")))</f>
        <v/>
      </c>
      <c r="J10" s="13"/>
      <c r="K10" s="13"/>
      <c r="L10" s="13"/>
      <c r="M10" s="13"/>
      <c r="N10" s="13"/>
      <c r="O10" s="13"/>
    </row>
    <row r="11" customFormat="false" ht="30" hidden="false" customHeight="true" outlineLevel="0" collapsed="false">
      <c r="A11" s="12" t="str">
        <f aca="false">IF(B11="","",VLOOKUP(B11,{"Risk","R";"Assumption","A";"Issue","I";"Dependency","D"},2,0)&amp;TEXT(ROW()-1,"000"))</f>
        <v/>
      </c>
      <c r="B11" s="13"/>
      <c r="C11" s="13"/>
      <c r="D11" s="13"/>
      <c r="E11" s="13"/>
      <c r="F11" s="13"/>
      <c r="G11" s="13"/>
      <c r="H11" s="14" t="str">
        <f aca="false">IF(OR(F11="",G11=""),"",(IF(F11="High",3,IF(F11="Medium",2,IF(F11="Low",1,0))))*(IF(G11="High",3,IF(G11="Medium",2,IF(G11="Low",1,0)))))</f>
        <v/>
      </c>
      <c r="I11" s="14" t="str">
        <f aca="false">IF(H11="","",IF(H11&gt;=6,"High",IF(H11&gt;=3,"Medium","Low")))</f>
        <v/>
      </c>
      <c r="J11" s="13"/>
      <c r="K11" s="13"/>
      <c r="L11" s="13"/>
      <c r="M11" s="13"/>
      <c r="N11" s="13"/>
      <c r="O11" s="13"/>
    </row>
    <row r="12" customFormat="false" ht="30" hidden="false" customHeight="true" outlineLevel="0" collapsed="false">
      <c r="A12" s="12" t="str">
        <f aca="false">IF(B12="","",VLOOKUP(B12,{"Risk","R";"Assumption","A";"Issue","I";"Dependency","D"},2,0)&amp;TEXT(ROW()-1,"000"))</f>
        <v/>
      </c>
      <c r="B12" s="13"/>
      <c r="C12" s="13"/>
      <c r="D12" s="13"/>
      <c r="E12" s="13"/>
      <c r="F12" s="13"/>
      <c r="G12" s="13"/>
      <c r="H12" s="14" t="str">
        <f aca="false">IF(OR(F12="",G12=""),"",(IF(F12="High",3,IF(F12="Medium",2,IF(F12="Low",1,0))))*(IF(G12="High",3,IF(G12="Medium",2,IF(G12="Low",1,0)))))</f>
        <v/>
      </c>
      <c r="I12" s="14" t="str">
        <f aca="false">IF(H12="","",IF(H12&gt;=6,"High",IF(H12&gt;=3,"Medium","Low")))</f>
        <v/>
      </c>
      <c r="J12" s="13"/>
      <c r="K12" s="13"/>
      <c r="L12" s="13"/>
      <c r="M12" s="13"/>
      <c r="N12" s="13"/>
      <c r="O12" s="13"/>
    </row>
    <row r="13" customFormat="false" ht="30" hidden="false" customHeight="true" outlineLevel="0" collapsed="false">
      <c r="A13" s="12" t="str">
        <f aca="false">IF(B13="","",VLOOKUP(B13,{"Risk","R";"Assumption","A";"Issue","I";"Dependency","D"},2,0)&amp;TEXT(ROW()-1,"000"))</f>
        <v/>
      </c>
      <c r="B13" s="13"/>
      <c r="C13" s="13"/>
      <c r="D13" s="13"/>
      <c r="E13" s="13"/>
      <c r="F13" s="13"/>
      <c r="G13" s="13"/>
      <c r="H13" s="14" t="str">
        <f aca="false">IF(OR(F13="",G13=""),"",(IF(F13="High",3,IF(F13="Medium",2,IF(F13="Low",1,0))))*(IF(G13="High",3,IF(G13="Medium",2,IF(G13="Low",1,0)))))</f>
        <v/>
      </c>
      <c r="I13" s="14" t="str">
        <f aca="false">IF(H13="","",IF(H13&gt;=6,"High",IF(H13&gt;=3,"Medium","Low")))</f>
        <v/>
      </c>
      <c r="J13" s="13"/>
      <c r="K13" s="13"/>
      <c r="L13" s="13"/>
      <c r="M13" s="13"/>
      <c r="N13" s="13"/>
      <c r="O13" s="13"/>
    </row>
    <row r="14" customFormat="false" ht="30" hidden="false" customHeight="true" outlineLevel="0" collapsed="false">
      <c r="A14" s="12" t="str">
        <f aca="false">IF(B14="","",VLOOKUP(B14,{"Risk","R";"Assumption","A";"Issue","I";"Dependency","D"},2,0)&amp;TEXT(ROW()-1,"000"))</f>
        <v/>
      </c>
      <c r="B14" s="13"/>
      <c r="C14" s="13"/>
      <c r="D14" s="13"/>
      <c r="E14" s="13"/>
      <c r="F14" s="13"/>
      <c r="G14" s="13"/>
      <c r="H14" s="14" t="str">
        <f aca="false">IF(OR(F14="",G14=""),"",(IF(F14="High",3,IF(F14="Medium",2,IF(F14="Low",1,0))))*(IF(G14="High",3,IF(G14="Medium",2,IF(G14="Low",1,0)))))</f>
        <v/>
      </c>
      <c r="I14" s="14" t="str">
        <f aca="false">IF(H14="","",IF(H14&gt;=6,"High",IF(H14&gt;=3,"Medium","Low")))</f>
        <v/>
      </c>
      <c r="J14" s="13"/>
      <c r="K14" s="13"/>
      <c r="L14" s="13"/>
      <c r="M14" s="13"/>
      <c r="N14" s="13"/>
      <c r="O14" s="13"/>
    </row>
    <row r="15" customFormat="false" ht="30" hidden="false" customHeight="true" outlineLevel="0" collapsed="false">
      <c r="A15" s="12" t="str">
        <f aca="false">IF(B15="","",VLOOKUP(B15,{"Risk","R";"Assumption","A";"Issue","I";"Dependency","D"},2,0)&amp;TEXT(ROW()-1,"000"))</f>
        <v/>
      </c>
      <c r="B15" s="13"/>
      <c r="C15" s="13"/>
      <c r="D15" s="13"/>
      <c r="E15" s="13"/>
      <c r="F15" s="13"/>
      <c r="G15" s="13"/>
      <c r="H15" s="14" t="str">
        <f aca="false">IF(OR(F15="",G15=""),"",(IF(F15="High",3,IF(F15="Medium",2,IF(F15="Low",1,0))))*(IF(G15="High",3,IF(G15="Medium",2,IF(G15="Low",1,0)))))</f>
        <v/>
      </c>
      <c r="I15" s="14" t="str">
        <f aca="false">IF(H15="","",IF(H15&gt;=6,"High",IF(H15&gt;=3,"Medium","Low")))</f>
        <v/>
      </c>
      <c r="J15" s="13"/>
      <c r="K15" s="13"/>
      <c r="L15" s="13"/>
      <c r="M15" s="13"/>
      <c r="N15" s="13"/>
      <c r="O15" s="13"/>
    </row>
    <row r="16" customFormat="false" ht="30" hidden="false" customHeight="true" outlineLevel="0" collapsed="false">
      <c r="A16" s="12" t="str">
        <f aca="false">IF(B16="","",VLOOKUP(B16,{"Risk","R";"Assumption","A";"Issue","I";"Dependency","D"},2,0)&amp;TEXT(ROW()-1,"000"))</f>
        <v/>
      </c>
      <c r="B16" s="13"/>
      <c r="C16" s="13"/>
      <c r="D16" s="13"/>
      <c r="E16" s="13"/>
      <c r="F16" s="13"/>
      <c r="G16" s="13"/>
      <c r="H16" s="14" t="str">
        <f aca="false">IF(OR(F16="",G16=""),"",(IF(F16="High",3,IF(F16="Medium",2,IF(F16="Low",1,0))))*(IF(G16="High",3,IF(G16="Medium",2,IF(G16="Low",1,0)))))</f>
        <v/>
      </c>
      <c r="I16" s="14" t="str">
        <f aca="false">IF(H16="","",IF(H16&gt;=6,"High",IF(H16&gt;=3,"Medium","Low")))</f>
        <v/>
      </c>
      <c r="J16" s="13"/>
      <c r="K16" s="13"/>
      <c r="L16" s="13"/>
      <c r="M16" s="13"/>
      <c r="N16" s="13"/>
      <c r="O16" s="13"/>
    </row>
    <row r="17" customFormat="false" ht="30" hidden="false" customHeight="true" outlineLevel="0" collapsed="false">
      <c r="A17" s="12" t="str">
        <f aca="false">IF(B17="","",VLOOKUP(B17,{"Risk","R";"Assumption","A";"Issue","I";"Dependency","D"},2,0)&amp;TEXT(ROW()-1,"000"))</f>
        <v/>
      </c>
      <c r="B17" s="13"/>
      <c r="C17" s="13"/>
      <c r="D17" s="13"/>
      <c r="E17" s="13"/>
      <c r="F17" s="13"/>
      <c r="G17" s="13"/>
      <c r="H17" s="14" t="str">
        <f aca="false">IF(OR(F17="",G17=""),"",(IF(F17="High",3,IF(F17="Medium",2,IF(F17="Low",1,0))))*(IF(G17="High",3,IF(G17="Medium",2,IF(G17="Low",1,0)))))</f>
        <v/>
      </c>
      <c r="I17" s="14" t="str">
        <f aca="false">IF(H17="","",IF(H17&gt;=6,"High",IF(H17&gt;=3,"Medium","Low")))</f>
        <v/>
      </c>
      <c r="J17" s="13"/>
      <c r="K17" s="13"/>
      <c r="L17" s="13"/>
      <c r="M17" s="13"/>
      <c r="N17" s="13"/>
      <c r="O17" s="13"/>
    </row>
    <row r="18" customFormat="false" ht="30" hidden="false" customHeight="true" outlineLevel="0" collapsed="false">
      <c r="A18" s="12" t="str">
        <f aca="false">IF(B18="","",VLOOKUP(B18,{"Risk","R";"Assumption","A";"Issue","I";"Dependency","D"},2,0)&amp;TEXT(ROW()-1,"000"))</f>
        <v/>
      </c>
      <c r="B18" s="13"/>
      <c r="C18" s="13"/>
      <c r="D18" s="13"/>
      <c r="E18" s="13"/>
      <c r="F18" s="13"/>
      <c r="G18" s="13"/>
      <c r="H18" s="14" t="str">
        <f aca="false">IF(OR(F18="",G18=""),"",(IF(F18="High",3,IF(F18="Medium",2,IF(F18="Low",1,0))))*(IF(G18="High",3,IF(G18="Medium",2,IF(G18="Low",1,0)))))</f>
        <v/>
      </c>
      <c r="I18" s="14" t="str">
        <f aca="false">IF(H18="","",IF(H18&gt;=6,"High",IF(H18&gt;=3,"Medium","Low")))</f>
        <v/>
      </c>
      <c r="J18" s="13"/>
      <c r="K18" s="13"/>
      <c r="L18" s="13"/>
      <c r="M18" s="13"/>
      <c r="N18" s="13"/>
      <c r="O18" s="13"/>
    </row>
    <row r="19" customFormat="false" ht="30" hidden="false" customHeight="true" outlineLevel="0" collapsed="false">
      <c r="A19" s="12" t="str">
        <f aca="false">IF(B19="","",VLOOKUP(B19,{"Risk","R";"Assumption","A";"Issue","I";"Dependency","D"},2,0)&amp;TEXT(ROW()-1,"000"))</f>
        <v/>
      </c>
      <c r="B19" s="13"/>
      <c r="C19" s="13"/>
      <c r="D19" s="13"/>
      <c r="E19" s="13"/>
      <c r="F19" s="13"/>
      <c r="G19" s="13"/>
      <c r="H19" s="14" t="str">
        <f aca="false">IF(OR(F19="",G19=""),"",(IF(F19="High",3,IF(F19="Medium",2,IF(F19="Low",1,0))))*(IF(G19="High",3,IF(G19="Medium",2,IF(G19="Low",1,0)))))</f>
        <v/>
      </c>
      <c r="I19" s="14" t="str">
        <f aca="false">IF(H19="","",IF(H19&gt;=6,"High",IF(H19&gt;=3,"Medium","Low")))</f>
        <v/>
      </c>
      <c r="J19" s="13"/>
      <c r="K19" s="13"/>
      <c r="L19" s="13"/>
      <c r="M19" s="13"/>
      <c r="N19" s="13"/>
      <c r="O19" s="13"/>
    </row>
    <row r="20" customFormat="false" ht="30" hidden="false" customHeight="true" outlineLevel="0" collapsed="false">
      <c r="A20" s="12" t="str">
        <f aca="false">IF(B20="","",VLOOKUP(B20,{"Risk","R";"Assumption","A";"Issue","I";"Dependency","D"},2,0)&amp;TEXT(ROW()-1,"000"))</f>
        <v/>
      </c>
      <c r="B20" s="13"/>
      <c r="C20" s="13"/>
      <c r="D20" s="13"/>
      <c r="E20" s="13"/>
      <c r="F20" s="13"/>
      <c r="G20" s="13"/>
      <c r="H20" s="14" t="str">
        <f aca="false">IF(OR(F20="",G20=""),"",(IF(F20="High",3,IF(F20="Medium",2,IF(F20="Low",1,0))))*(IF(G20="High",3,IF(G20="Medium",2,IF(G20="Low",1,0)))))</f>
        <v/>
      </c>
      <c r="I20" s="14" t="str">
        <f aca="false">IF(H20="","",IF(H20&gt;=6,"High",IF(H20&gt;=3,"Medium","Low")))</f>
        <v/>
      </c>
      <c r="J20" s="13"/>
      <c r="K20" s="13"/>
      <c r="L20" s="13"/>
      <c r="M20" s="13"/>
      <c r="N20" s="13"/>
      <c r="O20" s="13"/>
    </row>
    <row r="21" customFormat="false" ht="30" hidden="false" customHeight="true" outlineLevel="0" collapsed="false">
      <c r="A21" s="12" t="str">
        <f aca="false">IF(B21="","",VLOOKUP(B21,{"Risk","R";"Assumption","A";"Issue","I";"Dependency","D"},2,0)&amp;TEXT(ROW()-1,"000"))</f>
        <v/>
      </c>
      <c r="B21" s="13"/>
      <c r="C21" s="13"/>
      <c r="D21" s="13"/>
      <c r="E21" s="13"/>
      <c r="F21" s="13"/>
      <c r="G21" s="13"/>
      <c r="H21" s="14" t="str">
        <f aca="false">IF(OR(F21="",G21=""),"",(IF(F21="High",3,IF(F21="Medium",2,IF(F21="Low",1,0))))*(IF(G21="High",3,IF(G21="Medium",2,IF(G21="Low",1,0)))))</f>
        <v/>
      </c>
      <c r="I21" s="14" t="str">
        <f aca="false">IF(H21="","",IF(H21&gt;=6,"High",IF(H21&gt;=3,"Medium","Low")))</f>
        <v/>
      </c>
      <c r="J21" s="13"/>
      <c r="K21" s="13"/>
      <c r="L21" s="13"/>
      <c r="M21" s="13"/>
      <c r="N21" s="13"/>
      <c r="O21" s="13"/>
    </row>
    <row r="22" customFormat="false" ht="30" hidden="false" customHeight="true" outlineLevel="0" collapsed="false">
      <c r="A22" s="12" t="str">
        <f aca="false">IF(B22="","",VLOOKUP(B22,{"Risk","R";"Assumption","A";"Issue","I";"Dependency","D"},2,0)&amp;TEXT(ROW()-1,"000"))</f>
        <v/>
      </c>
      <c r="B22" s="13"/>
      <c r="C22" s="13"/>
      <c r="D22" s="13"/>
      <c r="E22" s="13"/>
      <c r="F22" s="13"/>
      <c r="G22" s="13"/>
      <c r="H22" s="14" t="str">
        <f aca="false">IF(OR(F22="",G22=""),"",(IF(F22="High",3,IF(F22="Medium",2,IF(F22="Low",1,0))))*(IF(G22="High",3,IF(G22="Medium",2,IF(G22="Low",1,0)))))</f>
        <v/>
      </c>
      <c r="I22" s="14" t="str">
        <f aca="false">IF(H22="","",IF(H22&gt;=6,"High",IF(H22&gt;=3,"Medium","Low")))</f>
        <v/>
      </c>
      <c r="J22" s="13"/>
      <c r="K22" s="13"/>
      <c r="L22" s="13"/>
      <c r="M22" s="13"/>
      <c r="N22" s="13"/>
      <c r="O22" s="13"/>
    </row>
    <row r="23" customFormat="false" ht="30" hidden="false" customHeight="true" outlineLevel="0" collapsed="false">
      <c r="A23" s="12" t="str">
        <f aca="false">IF(B23="","",VLOOKUP(B23,{"Risk","R";"Assumption","A";"Issue","I";"Dependency","D"},2,0)&amp;TEXT(ROW()-1,"000"))</f>
        <v/>
      </c>
      <c r="B23" s="13"/>
      <c r="C23" s="13"/>
      <c r="D23" s="13"/>
      <c r="E23" s="13"/>
      <c r="F23" s="13"/>
      <c r="G23" s="13"/>
      <c r="H23" s="14" t="str">
        <f aca="false">IF(OR(F23="",G23=""),"",(IF(F23="High",3,IF(F23="Medium",2,IF(F23="Low",1,0))))*(IF(G23="High",3,IF(G23="Medium",2,IF(G23="Low",1,0)))))</f>
        <v/>
      </c>
      <c r="I23" s="14" t="str">
        <f aca="false">IF(H23="","",IF(H23&gt;=6,"High",IF(H23&gt;=3,"Medium","Low")))</f>
        <v/>
      </c>
      <c r="J23" s="13"/>
      <c r="K23" s="13"/>
      <c r="L23" s="13"/>
      <c r="M23" s="13"/>
      <c r="N23" s="13"/>
      <c r="O23" s="13"/>
    </row>
    <row r="24" customFormat="false" ht="30" hidden="false" customHeight="true" outlineLevel="0" collapsed="false">
      <c r="A24" s="12" t="str">
        <f aca="false">IF(B24="","",VLOOKUP(B24,{"Risk","R";"Assumption","A";"Issue","I";"Dependency","D"},2,0)&amp;TEXT(ROW()-1,"000"))</f>
        <v/>
      </c>
      <c r="B24" s="13"/>
      <c r="C24" s="13"/>
      <c r="D24" s="13"/>
      <c r="E24" s="13"/>
      <c r="F24" s="13"/>
      <c r="G24" s="13"/>
      <c r="H24" s="14" t="str">
        <f aca="false">IF(OR(F24="",G24=""),"",(IF(F24="High",3,IF(F24="Medium",2,IF(F24="Low",1,0))))*(IF(G24="High",3,IF(G24="Medium",2,IF(G24="Low",1,0)))))</f>
        <v/>
      </c>
      <c r="I24" s="14" t="str">
        <f aca="false">IF(H24="","",IF(H24&gt;=6,"High",IF(H24&gt;=3,"Medium","Low")))</f>
        <v/>
      </c>
      <c r="J24" s="13"/>
      <c r="K24" s="13"/>
      <c r="L24" s="13"/>
      <c r="M24" s="13"/>
      <c r="N24" s="13"/>
      <c r="O24" s="13"/>
    </row>
    <row r="25" customFormat="false" ht="30" hidden="false" customHeight="true" outlineLevel="0" collapsed="false">
      <c r="A25" s="12" t="str">
        <f aca="false">IF(B25="","",VLOOKUP(B25,{"Risk","R";"Assumption","A";"Issue","I";"Dependency","D"},2,0)&amp;TEXT(ROW()-1,"000"))</f>
        <v/>
      </c>
      <c r="B25" s="13"/>
      <c r="C25" s="13"/>
      <c r="D25" s="13"/>
      <c r="E25" s="13"/>
      <c r="F25" s="13"/>
      <c r="G25" s="13"/>
      <c r="H25" s="14" t="str">
        <f aca="false">IF(OR(F25="",G25=""),"",(IF(F25="High",3,IF(F25="Medium",2,IF(F25="Low",1,0))))*(IF(G25="High",3,IF(G25="Medium",2,IF(G25="Low",1,0)))))</f>
        <v/>
      </c>
      <c r="I25" s="14" t="str">
        <f aca="false">IF(H25="","",IF(H25&gt;=6,"High",IF(H25&gt;=3,"Medium","Low")))</f>
        <v/>
      </c>
      <c r="J25" s="13"/>
      <c r="K25" s="13"/>
      <c r="L25" s="13"/>
      <c r="M25" s="13"/>
      <c r="N25" s="13"/>
      <c r="O25" s="13"/>
    </row>
    <row r="26" customFormat="false" ht="30" hidden="false" customHeight="true" outlineLevel="0" collapsed="false">
      <c r="A26" s="12" t="str">
        <f aca="false">IF(B26="","",VLOOKUP(B26,{"Risk","R";"Assumption","A";"Issue","I";"Dependency","D"},2,0)&amp;TEXT(ROW()-1,"000"))</f>
        <v/>
      </c>
      <c r="B26" s="13"/>
      <c r="C26" s="13"/>
      <c r="D26" s="13"/>
      <c r="E26" s="13"/>
      <c r="F26" s="13"/>
      <c r="G26" s="13"/>
      <c r="H26" s="14" t="str">
        <f aca="false">IF(OR(F26="",G26=""),"",(IF(F26="High",3,IF(F26="Medium",2,IF(F26="Low",1,0))))*(IF(G26="High",3,IF(G26="Medium",2,IF(G26="Low",1,0)))))</f>
        <v/>
      </c>
      <c r="I26" s="14" t="str">
        <f aca="false">IF(H26="","",IF(H26&gt;=6,"High",IF(H26&gt;=3,"Medium","Low")))</f>
        <v/>
      </c>
      <c r="J26" s="13"/>
      <c r="K26" s="13"/>
      <c r="L26" s="13"/>
      <c r="M26" s="13"/>
      <c r="N26" s="13"/>
      <c r="O26" s="13"/>
    </row>
  </sheetData>
  <conditionalFormatting sqref="I2:I26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L2:L26">
    <cfRule type="cellIs" priority="5" operator="equal" aboveAverage="0" equalAverage="0" bottom="0" percent="0" rank="0" text="" dxfId="2">
      <formula>"Closed"</formula>
    </cfRule>
    <cfRule type="cellIs" priority="6" operator="equal" aboveAverage="0" equalAverage="0" bottom="0" percent="0" rank="0" text="" dxfId="2">
      <formula>"Resolved"</formula>
    </cfRule>
    <cfRule type="cellIs" priority="7" operator="equal" aboveAverage="0" equalAverage="0" bottom="0" percent="0" rank="0" text="" dxfId="3">
      <formula>"Open"</formula>
    </cfRule>
  </conditionalFormatting>
  <dataValidations count="3">
    <dataValidation allowBlank="true" errorStyle="stop" operator="between" showDropDown="false" showErrorMessage="false" showInputMessage="false" sqref="B6:B26" type="list">
      <formula1>"Risk,Assumption,Issue,Dependency"</formula1>
      <formula2>0</formula2>
    </dataValidation>
    <dataValidation allowBlank="true" errorStyle="stop" operator="between" showDropDown="false" showErrorMessage="false" showInputMessage="false" sqref="F6:G26" type="list">
      <formula1>"High,Medium,Low"</formula1>
      <formula2>0</formula2>
    </dataValidation>
    <dataValidation allowBlank="true" errorStyle="stop" operator="between" showDropDown="false" showErrorMessage="false" showInputMessage="false" sqref="L6:L26" type="list">
      <formula1>"Open,Monitoring,Mitigated,Resolved,Closed"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5" t="s">
        <v>62</v>
      </c>
      <c r="B1" s="15"/>
      <c r="C1" s="15"/>
      <c r="D1" s="15"/>
      <c r="E1" s="15"/>
    </row>
    <row r="3" customFormat="false" ht="15" hidden="false" customHeight="false" outlineLevel="0" collapsed="false">
      <c r="A3" s="16" t="s">
        <v>63</v>
      </c>
      <c r="B3" s="17" t="s">
        <v>64</v>
      </c>
    </row>
    <row r="4" customFormat="false" ht="15" hidden="false" customHeight="false" outlineLevel="0" collapsed="false">
      <c r="A4" s="18" t="s">
        <v>34</v>
      </c>
      <c r="B4" s="19" t="n">
        <f aca="false">COUNTIF('RAID Log'!B2:B26,"Risk")</f>
        <v>1</v>
      </c>
    </row>
    <row r="5" customFormat="false" ht="15" hidden="false" customHeight="false" outlineLevel="0" collapsed="false">
      <c r="A5" s="18" t="s">
        <v>44</v>
      </c>
      <c r="B5" s="19" t="n">
        <f aca="false">COUNTIF('RAID Log'!B2:B26,"Assumption")</f>
        <v>1</v>
      </c>
    </row>
    <row r="6" customFormat="false" ht="15" hidden="false" customHeight="false" outlineLevel="0" collapsed="false">
      <c r="A6" s="18" t="s">
        <v>51</v>
      </c>
      <c r="B6" s="19" t="n">
        <f aca="false">COUNTIF('RAID Log'!B2:B26,"Issue")</f>
        <v>1</v>
      </c>
    </row>
    <row r="7" customFormat="false" ht="15" hidden="false" customHeight="false" outlineLevel="0" collapsed="false">
      <c r="A7" s="18" t="s">
        <v>57</v>
      </c>
      <c r="B7" s="19" t="n">
        <f aca="false">COUNTIF('RAID Log'!B2:B26,"Dependency")</f>
        <v>1</v>
      </c>
    </row>
    <row r="9" customFormat="false" ht="27.75" hidden="false" customHeight="true" outlineLevel="0" collapsed="false">
      <c r="A9" s="10" t="s">
        <v>65</v>
      </c>
      <c r="B9" s="16" t="s">
        <v>64</v>
      </c>
    </row>
    <row r="10" customFormat="false" ht="15" hidden="false" customHeight="false" outlineLevel="0" collapsed="false">
      <c r="A10" s="18" t="s">
        <v>39</v>
      </c>
      <c r="B10" s="19" t="n">
        <f aca="false">COUNTIF('RAID Log'!I2:I26,"High")</f>
        <v>1</v>
      </c>
    </row>
    <row r="11" customFormat="false" ht="15" hidden="false" customHeight="false" outlineLevel="0" collapsed="false">
      <c r="A11" s="18" t="s">
        <v>38</v>
      </c>
      <c r="B11" s="19" t="n">
        <f aca="false">COUNTIF('RAID Log'!I2:I26,"Medium")</f>
        <v>0</v>
      </c>
    </row>
    <row r="12" customFormat="false" ht="15" hidden="false" customHeight="false" outlineLevel="0" collapsed="false">
      <c r="A12" s="18" t="s">
        <v>66</v>
      </c>
      <c r="B12" s="19" t="n">
        <f aca="false">COUNTIF('RAID Log'!I2:I26,"Low")</f>
        <v>0</v>
      </c>
    </row>
    <row r="14" customFormat="false" ht="15" hidden="false" customHeight="false" outlineLevel="0" collapsed="false">
      <c r="A14" s="16" t="s">
        <v>67</v>
      </c>
      <c r="B14" s="16" t="s">
        <v>64</v>
      </c>
    </row>
    <row r="15" customFormat="false" ht="15" hidden="false" customHeight="false" outlineLevel="0" collapsed="false">
      <c r="A15" s="18" t="s">
        <v>42</v>
      </c>
      <c r="B15" s="19" t="n">
        <f aca="false">COUNTIF('RAID Log'!L2:L26,"Open")</f>
        <v>3</v>
      </c>
    </row>
    <row r="16" customFormat="false" ht="15" hidden="false" customHeight="false" outlineLevel="0" collapsed="false">
      <c r="A16" s="18" t="s">
        <v>50</v>
      </c>
      <c r="B16" s="19" t="n">
        <f aca="false">COUNTIF('RAID Log'!L2:L26,"Monitoring")</f>
        <v>1</v>
      </c>
    </row>
    <row r="17" customFormat="false" ht="15" hidden="false" customHeight="false" outlineLevel="0" collapsed="false">
      <c r="A17" s="18" t="s">
        <v>68</v>
      </c>
      <c r="B17" s="19" t="n">
        <f aca="false">COUNTIF('RAID Log'!L2:L26,"Mitigated")</f>
        <v>0</v>
      </c>
    </row>
    <row r="18" customFormat="false" ht="15" hidden="false" customHeight="false" outlineLevel="0" collapsed="false">
      <c r="A18" s="18" t="s">
        <v>69</v>
      </c>
      <c r="B18" s="19" t="n">
        <f aca="false">COUNTIF('RAID Log'!L2:L26,"Resolved")</f>
        <v>0</v>
      </c>
    </row>
    <row r="19" customFormat="false" ht="15" hidden="false" customHeight="false" outlineLevel="0" collapsed="false">
      <c r="A19" s="18" t="s">
        <v>70</v>
      </c>
      <c r="B19" s="19" t="n">
        <f aca="false">COUNTIF('RAID Log'!L2:L26,"Closed")</f>
        <v>0</v>
      </c>
    </row>
    <row r="21" customFormat="false" ht="22.35" hidden="false" customHeight="true" outlineLevel="0" collapsed="false">
      <c r="A21" s="20" t="s">
        <v>71</v>
      </c>
      <c r="B21" s="20"/>
      <c r="C21" s="20"/>
      <c r="D21" s="20"/>
      <c r="E21" s="20"/>
    </row>
  </sheetData>
  <mergeCells count="2">
    <mergeCell ref="A1:E1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2026-08-28T11:19:16Z</dcterms:created>
  <dc:creator>openpyxl</dc:creator>
  <dc:description/>
  <dc:language>en-US</dc:language>
  <cp:lastModifiedBy/>
  <dcterms:modified xsi:type="dcterms:W3CDTF">2026-08-28T18:19:25Z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