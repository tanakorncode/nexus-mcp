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คำแนะนำ" sheetId="1" state="visible" r:id="rId3"/>
    <sheet name="Test Cases" sheetId="2" state="visible" r:id="rId4"/>
    <sheet name="Summary" sheetId="3" state="visible" r:id="rId5"/>
    <sheet name="Defect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<sst xmlns="http://schemas.openxmlformats.org/spreadsheetml/2006/main" count="67" uniqueCount="64">
  <si>
    <t xml:space="preserve">Test Case Template (มาตรฐาน QA)</t>
  </si>
  <si>
    <t xml:space="preserve">เทมเพลตมาตรฐานสำหรับเขียน test case, ติดตามผลทดสอบ, และบันทึก defect — ใช้ได้กับทุกโครงการ</t>
  </si>
  <si>
    <t xml:space="preserve">วิธีใช้งาน</t>
  </si>
  <si>
    <t xml:space="preserve">1. ชีท "Test Cases" — เขียน test case ทีละแถว 1 เคส ใช้แถวตัวอย่าง (แถวที่ 2) เป็นแนวทาง</t>
  </si>
  <si>
    <t xml:space="preserve">2. คอลัมน์ Test Case ID (A) จะเรียงเลขอัตโนมัติด้วยสูตร ไม่ต้องพิมพ์เอง</t>
  </si>
  <si>
    <t xml:space="preserve">3. คอลัมน์ Status ใช้ dropdown เท่านั้น (Not Run / Pass / Fail / Blocked) เพื่อให้สูตรในชีท Summary นับได้ถูกต้อง</t>
  </si>
  <si>
    <t xml:space="preserve">4. ชีท "Summary" คำนวณจำนวน Pass/Fail/Blocked/Not Run และ % Pass Rate อัตโนมัติจากชีท Test Cases — ไม่ต้องแก้ไขด้วยมือ</t>
  </si>
  <si>
    <t xml:space="preserve">5. เคสไหน Fail ให้เปิดบันทึกในชีท "Defect Log" พร้อมอ้างอิง Test Case ID กลับมาที่ชีทแรก</t>
  </si>
  <si>
    <t xml:space="preserve">สัญลักษณ์ / คำอธิบาย</t>
  </si>
  <si>
    <t xml:space="preserve">      สีเหลือง = ช่องที่ต้องกรอกข้อมูลเอง (input cells)</t>
  </si>
  <si>
    <t xml:space="preserve">      ตัวเอียงสีเทา = แถวตัวอย่าง (ตัวอย่างรูปแบบข้อมูล) ลบ/แก้ไขเป็นข้อมูลจริงได้</t>
  </si>
  <si>
    <t xml:space="preserve">      เขียว = Pass</t>
  </si>
  <si>
    <t xml:space="preserve">      แดง = Fail</t>
  </si>
  <si>
    <t xml:space="preserve">      เหลืองอำพัน = Blocked</t>
  </si>
  <si>
    <t xml:space="preserve">สูตรในชีท Summary (COUNTIF/COUNTA) จะคำนวณใหม่อัตโนมัติเมื่อแก้ไขข้อมูลในชีท Test Cases — อย่าเขียนตัวเลขทับสูตร เพิ่มแถวได้ตามจำนวน test case จริง (คัดลอกรูปแบบแถวว่างด้านล่างลงมา)</t>
  </si>
  <si>
    <t xml:space="preserve">Test Case
ID</t>
  </si>
  <si>
    <t xml:space="preserve">Module /
Feature</t>
  </si>
  <si>
    <t xml:space="preserve">Test Scenario</t>
  </si>
  <si>
    <t xml:space="preserve">Precondition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</si>
  <si>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</si>
  <si>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</si>
  <si>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</si>
  <si>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</si>
  <si>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</si>
  <si>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</si>
  <si>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Tested By</t>
  </si>
  <si>
    <t xml:space="preserve">Date Tested</t>
  </si>
  <si>
    <t xml:space="preserve">Defect ID /
Remarks</t>
  </si>
  <si>
    <t xml:space="preserve">[ตัวอย่าง] Login</t>
  </si>
  <si>
    <t xml:space="preserve">ผู้ใช้ล็อกอินด้วย username/password ที่ถูกต้อง</t>
  </si>
  <si>
    <t xml:space="preserve">มีบัญชีผู้ใช้ที่ใช้งานได้ในระบบแล้ว</t>
  </si>
  <si>
    <t xml:space="preserve">1. เปิดหน้า Login
2. กรอก username/password ที่ถูกต้อง
3. กดปุ่ม Login</t>
  </si>
  <si>
    <t xml:space="preserve">username: testuser1
password: Passw0rd!</t>
  </si>
  <si>
    <t xml:space="preserve">เข้าสู่ระบบสำเร็จ และแสดงหน้า Dashboard</t>
  </si>
  <si>
    <t xml:space="preserve">เข้าสู่ระบบสำเร็จตามที่คาดหวัง</t>
  </si>
  <si>
    <t xml:space="preserve">Pass</t>
  </si>
  <si>
    <t xml:space="preserve">High</t>
  </si>
  <si>
    <t xml:space="preserve">[ผู้ทดสอบ]</t>
  </si>
  <si>
    <t xml:space="preserve">ตัวอย่าง — แก้ไข/ลบแถวนี้เป็นข้อมูลจริง</t>
  </si>
  <si>
    <t xml:space="preserve">Test Execution Summary</t>
  </si>
  <si>
    <t xml:space="preserve">สถานะ</t>
  </si>
  <si>
    <t xml:space="preserve">จำนวน</t>
  </si>
  <si>
    <t xml:space="preserve">Total Test Cases</t>
  </si>
  <si>
    <t xml:space="preserve">Fail</t>
  </si>
  <si>
    <t xml:space="preserve">Blocked</t>
  </si>
  <si>
    <t xml:space="preserve">Not Run</t>
  </si>
  <si>
    <t xml:space="preserve">Pass Rate (%)</t>
  </si>
  <si>
    <t xml:space="preserve">คำอธิบาย / Legend</t>
  </si>
  <si>
    <t xml:space="preserve">ตัวเลขทั้งหมดเป็นสูตร COUNTIF/COUNTA อ้างอิงคอลัมน์ Status ในชีท Test Cases — อัปเดตอัตโนมัติเมื่อแก้ไขสถานะ test case</t>
  </si>
  <si>
    <t xml:space="preserve">Defect
ID</t>
  </si>
  <si>
    <t xml:space="preserve">Test Case
ID Ref.</t>
  </si>
  <si>
    <t xml:space="preserve">Defect Summary</t>
  </si>
  <si>
    <t xml:space="preserve">Severity</t>
  </si>
  <si>
    <t xml:space="preserve">Reported By</t>
  </si>
  <si>
    <t xml:space="preserve">Date
Reported</t>
  </si>
  <si>
    <t xml:space="preserve">Assigned To</t>
  </si>
  <si>
    <t xml:space="preserve">Fix Date</t>
  </si>
  <si>
    <t xml:space="preserve">Remarks</t>
  </si>
  <si>
    <t xml:space="preserve">TC001</t>
  </si>
  <si>
    <t xml:space="preserve">[ตัวอย่าง] ปุ่ม Login ไม่ทำงานเมื่อกด Enter</t>
  </si>
  <si>
    <t xml:space="preserve">Medium</t>
  </si>
  <si>
    <t xml:space="preserve">Open</t>
  </si>
  <si>
    <t xml:space="preserve">[ผู้แจ้ง]</t>
  </si>
  <si>
    <t xml:space="preserve">[ผู้รับผิดชอบ]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</si>
</sst>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sz val="10"/>
      <color rgb="FF808080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9C65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00610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EBE7F1"/>
      </patternFill>
    </fill>
    <fill>
      <patternFill patternType="solid">
        <fgColor rgb="FF1F4E78"/>
        <bgColor rgb="FF003366"/>
      </patternFill>
    </fill>
    <fill>
      <patternFill patternType="solid">
        <fgColor rgb="FFEBE7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EBE7F1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Test Case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Summary!$A$4:$A$8</c:f>
              <c:strCache>
                <c:ptCount val="5"/>
                <c:pt idx="0">
                  <c:v>Total Test Cases</c:v>
                </c:pt>
                <c:pt idx="1">
                  <c:v>Pass</c:v>
                </c:pt>
                <c:pt idx="2">
                  <c:v>Fail</c:v>
                </c:pt>
                <c:pt idx="3">
                  <c:v>Blocked</c:v>
                </c:pt>
                <c:pt idx="4">
                  <c:v>Not Run</c:v>
                </c:pt>
              </c:strCache>
            </c:strRef>
          </c:cat>
          <c:val>
            <c:numRef>
              <c:f>Summary!$B$4:$B$8</c:f>
              <c:numCache>
                <c:formatCode>General</c:formatCode>
                <c:ptCount val="5"/>
                <c:pt idx="0">
                  <c:v>25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39022262"/>
        <c:axId val="58950254"/>
      </c:barChart>
      <c:catAx>
        <c:axId val="390222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สถานะ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950254"/>
        <c:crosses val="autoZero"/>
        <c:auto val="1"/>
        <c:lblAlgn val="ctr"/>
        <c:lblOffset val="100"/>
        <c:noMultiLvlLbl val="0"/>
      </c:catAx>
      <c:valAx>
        <c:axId val="589502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จำนวน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022262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0</xdr:rowOff>
    </xdr:from>
    <xdr:to>
      <xdr:col>7</xdr:col>
      <xdr:colOff>385920</xdr:colOff>
      <xdr:row>16</xdr:row>
      <xdr:rowOff>21960</xdr:rowOff>
    </xdr:to>
    <xdr:graphicFrame>
      <xdr:nvGraphicFramePr>
        <xdr:cNvPr id="1" name="Chart 1"/>
        <xdr:cNvGraphicFramePr/>
      </xdr:nvGraphicFramePr>
      <xdr:xfrm>
        <a:off x="3524400" y="4107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18.65" hidden="false" customHeight="false" outlineLevel="0" collapsed="false">
      <c r="B2" s="1" t="s">
        <v>0</v>
      </c>
    </row>
    <row r="3" customFormat="false" ht="23.8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23.85" hidden="false" customHeight="false" outlineLevel="0" collapsed="false">
      <c r="B8" s="4" t="s">
        <v>5</v>
      </c>
    </row>
    <row r="9" customFormat="false" ht="23.8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5" t="s">
        <v>9</v>
      </c>
    </row>
    <row r="14" customFormat="false" ht="15" hidden="false" customHeight="false" outlineLevel="0" collapsed="false">
      <c r="B14" s="6" t="s">
        <v>10</v>
      </c>
    </row>
    <row r="15" customFormat="false" ht="15" hidden="false" customHeight="false" outlineLevel="0" collapsed="false">
      <c r="B15" s="7" t="s">
        <v>11</v>
      </c>
    </row>
    <row r="16" customFormat="false" ht="15" hidden="false" customHeight="false" outlineLevel="0" collapsed="false">
      <c r="B16" s="8" t="s">
        <v>12</v>
      </c>
    </row>
    <row r="17" customFormat="false" ht="15" hidden="false" customHeight="false" outlineLevel="0" collapsed="false">
      <c r="B17" s="9" t="s">
        <v>13</v>
      </c>
    </row>
    <row r="19" customFormat="false" ht="30" hidden="false" customHeight="true" outlineLevel="0" collapsed="false">
      <c r="B19" s="1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8" min="7" style="0" width="26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2" min="11" style="0" width="12"/>
    <col collapsed="false" customWidth="true" hidden="false" outlineLevel="0" max="13" min="13" style="0" width="16"/>
  </cols>
  <sheetData>
    <row r="1" customFormat="false" ht="33.75" hidden="false" customHeight="true" outlineLevel="0" collapsed="false">
      <c r="A1" s="11" t="s">
        <v>15</v>
      </c>
      <c r="B1" s="11" t="s">
        <v>16</v>
      </c>
      <c r="C1" s="11" t="s">
        <v>17</v>
      </c>
      <c r="D1" s="11" t="s">
        <v>18</v>
      </c>
      <c r="E1" s="11" t="s">
        <v>19</v>
      </c>
      <c r="F1" s="11" t="s">
        <v>20</v>
      </c>
      <c r="G1" s="11" t="s">
        <v>21</v>
      </c>
      <c r="H1" s="11" t="s">
        <v>22</v>
      </c>
      <c r="I1" s="11" t="s">
        <v>23</v>
      </c>
      <c r="J1" s="11" t="s">
        <v>24</v>
      </c>
      <c r="K1" s="11" t="s">
        <v>25</v>
      </c>
      <c r="L1" s="11" t="s">
        <v>26</v>
      </c>
      <c r="M1" s="11" t="s">
        <v>27</v>
      </c>
    </row>
    <row r="2" customFormat="false" ht="69.75" hidden="false" customHeight="true" outlineLevel="0" collapsed="false">
      <c r="A2" s="12" t="str">
        <f aca="false">"TC"&amp;TEXT(ROW()-1,"000")</f>
        <v>TC001</v>
      </c>
      <c r="B2" s="12" t="s">
        <v>28</v>
      </c>
      <c r="C2" s="12" t="s">
        <v>29</v>
      </c>
      <c r="D2" s="12" t="s">
        <v>30</v>
      </c>
      <c r="E2" s="12" t="s">
        <v>31</v>
      </c>
      <c r="F2" s="12" t="s">
        <v>32</v>
      </c>
      <c r="G2" s="12" t="s">
        <v>33</v>
      </c>
      <c r="H2" s="12" t="s">
        <v>34</v>
      </c>
      <c r="I2" s="13" t="s">
        <v>35</v>
      </c>
      <c r="J2" s="12" t="s">
        <v>36</v>
      </c>
      <c r="K2" s="12" t="s">
        <v>37</v>
      </c>
      <c r="L2" s="12"/>
      <c r="M2" s="12" t="s">
        <v>38</v>
      </c>
    </row>
    <row r="3" customFormat="false" ht="30" hidden="false" customHeight="true" outlineLevel="0" collapsed="false">
      <c r="A3" s="14" t="str">
        <f aca="false">"TC"&amp;TEXT(ROW()-1,"000")</f>
        <v>TC002</v>
      </c>
      <c r="B3" s="15"/>
      <c r="C3" s="15"/>
      <c r="D3" s="15"/>
      <c r="E3" s="15"/>
      <c r="F3" s="15"/>
      <c r="G3" s="15"/>
      <c r="H3" s="15"/>
      <c r="I3" s="16"/>
      <c r="J3" s="16"/>
      <c r="K3" s="15"/>
      <c r="L3" s="15"/>
      <c r="M3" s="15"/>
    </row>
    <row r="4" customFormat="false" ht="30" hidden="false" customHeight="true" outlineLevel="0" collapsed="false">
      <c r="A4" s="14" t="str">
        <f aca="false">"TC"&amp;TEXT(ROW()-1,"000")</f>
        <v>TC003</v>
      </c>
      <c r="B4" s="15"/>
      <c r="C4" s="15"/>
      <c r="D4" s="15"/>
      <c r="E4" s="15"/>
      <c r="F4" s="15"/>
      <c r="G4" s="15"/>
      <c r="H4" s="15"/>
      <c r="I4" s="16"/>
      <c r="J4" s="16"/>
      <c r="K4" s="15"/>
      <c r="L4" s="15"/>
      <c r="M4" s="15"/>
    </row>
    <row r="5" customFormat="false" ht="30" hidden="false" customHeight="true" outlineLevel="0" collapsed="false">
      <c r="A5" s="14" t="str">
        <f aca="false">"TC"&amp;TEXT(ROW()-1,"000")</f>
        <v>TC004</v>
      </c>
      <c r="B5" s="15"/>
      <c r="C5" s="15"/>
      <c r="D5" s="15"/>
      <c r="E5" s="15"/>
      <c r="F5" s="15"/>
      <c r="G5" s="15"/>
      <c r="H5" s="15"/>
      <c r="I5" s="16"/>
      <c r="J5" s="16"/>
      <c r="K5" s="15"/>
      <c r="L5" s="15"/>
      <c r="M5" s="15"/>
    </row>
    <row r="6" customFormat="false" ht="30" hidden="false" customHeight="true" outlineLevel="0" collapsed="false">
      <c r="A6" s="14" t="str">
        <f aca="false">"TC"&amp;TEXT(ROW()-1,"000")</f>
        <v>TC005</v>
      </c>
      <c r="B6" s="15"/>
      <c r="C6" s="15"/>
      <c r="D6" s="15"/>
      <c r="E6" s="15"/>
      <c r="F6" s="15"/>
      <c r="G6" s="15"/>
      <c r="H6" s="15"/>
      <c r="I6" s="16"/>
      <c r="J6" s="16"/>
      <c r="K6" s="15"/>
      <c r="L6" s="15"/>
      <c r="M6" s="15"/>
    </row>
    <row r="7" customFormat="false" ht="30" hidden="false" customHeight="true" outlineLevel="0" collapsed="false">
      <c r="A7" s="14" t="str">
        <f aca="false">"TC"&amp;TEXT(ROW()-1,"000")</f>
        <v>TC006</v>
      </c>
      <c r="B7" s="15"/>
      <c r="C7" s="15"/>
      <c r="D7" s="15"/>
      <c r="E7" s="15"/>
      <c r="F7" s="15"/>
      <c r="G7" s="15"/>
      <c r="H7" s="15"/>
      <c r="I7" s="16"/>
      <c r="J7" s="16"/>
      <c r="K7" s="15"/>
      <c r="L7" s="15"/>
      <c r="M7" s="15"/>
    </row>
    <row r="8" customFormat="false" ht="30" hidden="false" customHeight="true" outlineLevel="0" collapsed="false">
      <c r="A8" s="14" t="str">
        <f aca="false">"TC"&amp;TEXT(ROW()-1,"000")</f>
        <v>TC007</v>
      </c>
      <c r="B8" s="15"/>
      <c r="C8" s="15"/>
      <c r="D8" s="15"/>
      <c r="E8" s="15"/>
      <c r="F8" s="15"/>
      <c r="G8" s="15"/>
      <c r="H8" s="15"/>
      <c r="I8" s="16"/>
      <c r="J8" s="16"/>
      <c r="K8" s="15"/>
      <c r="L8" s="15"/>
      <c r="M8" s="15"/>
    </row>
    <row r="9" customFormat="false" ht="30" hidden="false" customHeight="true" outlineLevel="0" collapsed="false">
      <c r="A9" s="14" t="str">
        <f aca="false">"TC"&amp;TEXT(ROW()-1,"000")</f>
        <v>TC008</v>
      </c>
      <c r="B9" s="15"/>
      <c r="C9" s="15"/>
      <c r="D9" s="15"/>
      <c r="E9" s="15"/>
      <c r="F9" s="15"/>
      <c r="G9" s="15"/>
      <c r="H9" s="15"/>
      <c r="I9" s="16"/>
      <c r="J9" s="16"/>
      <c r="K9" s="15"/>
      <c r="L9" s="15"/>
      <c r="M9" s="15"/>
    </row>
    <row r="10" customFormat="false" ht="30" hidden="false" customHeight="true" outlineLevel="0" collapsed="false">
      <c r="A10" s="14" t="str">
        <f aca="false">"TC"&amp;TEXT(ROW()-1,"000")</f>
        <v>TC009</v>
      </c>
      <c r="B10" s="15"/>
      <c r="C10" s="15"/>
      <c r="D10" s="15"/>
      <c r="E10" s="15"/>
      <c r="F10" s="15"/>
      <c r="G10" s="15"/>
      <c r="H10" s="15"/>
      <c r="I10" s="16"/>
      <c r="J10" s="16"/>
      <c r="K10" s="15"/>
      <c r="L10" s="15"/>
      <c r="M10" s="15"/>
    </row>
    <row r="11" customFormat="false" ht="30" hidden="false" customHeight="true" outlineLevel="0" collapsed="false">
      <c r="A11" s="14" t="str">
        <f aca="false">"TC"&amp;TEXT(ROW()-1,"000")</f>
        <v>TC010</v>
      </c>
      <c r="B11" s="15"/>
      <c r="C11" s="15"/>
      <c r="D11" s="15"/>
      <c r="E11" s="15"/>
      <c r="F11" s="15"/>
      <c r="G11" s="15"/>
      <c r="H11" s="15"/>
      <c r="I11" s="16"/>
      <c r="J11" s="16"/>
      <c r="K11" s="15"/>
      <c r="L11" s="15"/>
      <c r="M11" s="15"/>
    </row>
    <row r="12" customFormat="false" ht="30" hidden="false" customHeight="true" outlineLevel="0" collapsed="false">
      <c r="A12" s="14" t="str">
        <f aca="false">"TC"&amp;TEXT(ROW()-1,"000")</f>
        <v>TC011</v>
      </c>
      <c r="B12" s="15"/>
      <c r="C12" s="15"/>
      <c r="D12" s="15"/>
      <c r="E12" s="15"/>
      <c r="F12" s="15"/>
      <c r="G12" s="15"/>
      <c r="H12" s="15"/>
      <c r="I12" s="16"/>
      <c r="J12" s="16"/>
      <c r="K12" s="15"/>
      <c r="L12" s="15"/>
      <c r="M12" s="15"/>
    </row>
    <row r="13" customFormat="false" ht="30" hidden="false" customHeight="true" outlineLevel="0" collapsed="false">
      <c r="A13" s="14" t="str">
        <f aca="false">"TC"&amp;TEXT(ROW()-1,"000")</f>
        <v>TC012</v>
      </c>
      <c r="B13" s="15"/>
      <c r="C13" s="15"/>
      <c r="D13" s="15"/>
      <c r="E13" s="15"/>
      <c r="F13" s="15"/>
      <c r="G13" s="15"/>
      <c r="H13" s="15"/>
      <c r="I13" s="16"/>
      <c r="J13" s="16"/>
      <c r="K13" s="15"/>
      <c r="L13" s="15"/>
      <c r="M13" s="15"/>
    </row>
    <row r="14" customFormat="false" ht="30" hidden="false" customHeight="true" outlineLevel="0" collapsed="false">
      <c r="A14" s="14" t="str">
        <f aca="false">"TC"&amp;TEXT(ROW()-1,"000")</f>
        <v>TC013</v>
      </c>
      <c r="B14" s="15"/>
      <c r="C14" s="15"/>
      <c r="D14" s="15"/>
      <c r="E14" s="15"/>
      <c r="F14" s="15"/>
      <c r="G14" s="15"/>
      <c r="H14" s="15"/>
      <c r="I14" s="16"/>
      <c r="J14" s="16"/>
      <c r="K14" s="15"/>
      <c r="L14" s="15"/>
      <c r="M14" s="15"/>
    </row>
    <row r="15" customFormat="false" ht="30" hidden="false" customHeight="true" outlineLevel="0" collapsed="false">
      <c r="A15" s="14" t="str">
        <f aca="false">"TC"&amp;TEXT(ROW()-1,"000")</f>
        <v>TC014</v>
      </c>
      <c r="B15" s="15"/>
      <c r="C15" s="15"/>
      <c r="D15" s="15"/>
      <c r="E15" s="15"/>
      <c r="F15" s="15"/>
      <c r="G15" s="15"/>
      <c r="H15" s="15"/>
      <c r="I15" s="16"/>
      <c r="J15" s="16"/>
      <c r="K15" s="15"/>
      <c r="L15" s="15"/>
      <c r="M15" s="15"/>
    </row>
    <row r="16" customFormat="false" ht="30" hidden="false" customHeight="true" outlineLevel="0" collapsed="false">
      <c r="A16" s="14" t="str">
        <f aca="false">"TC"&amp;TEXT(ROW()-1,"000")</f>
        <v>TC015</v>
      </c>
      <c r="B16" s="15"/>
      <c r="C16" s="15"/>
      <c r="D16" s="15"/>
      <c r="E16" s="15"/>
      <c r="F16" s="15"/>
      <c r="G16" s="15"/>
      <c r="H16" s="15"/>
      <c r="I16" s="16"/>
      <c r="J16" s="16"/>
      <c r="K16" s="15"/>
      <c r="L16" s="15"/>
      <c r="M16" s="15"/>
    </row>
    <row r="17" customFormat="false" ht="30" hidden="false" customHeight="true" outlineLevel="0" collapsed="false">
      <c r="A17" s="14" t="str">
        <f aca="false">"TC"&amp;TEXT(ROW()-1,"000")</f>
        <v>TC016</v>
      </c>
      <c r="B17" s="15"/>
      <c r="C17" s="15"/>
      <c r="D17" s="15"/>
      <c r="E17" s="15"/>
      <c r="F17" s="15"/>
      <c r="G17" s="15"/>
      <c r="H17" s="15"/>
      <c r="I17" s="16"/>
      <c r="J17" s="16"/>
      <c r="K17" s="15"/>
      <c r="L17" s="15"/>
      <c r="M17" s="15"/>
    </row>
    <row r="18" customFormat="false" ht="30" hidden="false" customHeight="true" outlineLevel="0" collapsed="false">
      <c r="A18" s="14" t="str">
        <f aca="false">"TC"&amp;TEXT(ROW()-1,"000")</f>
        <v>TC017</v>
      </c>
      <c r="B18" s="15"/>
      <c r="C18" s="15"/>
      <c r="D18" s="15"/>
      <c r="E18" s="15"/>
      <c r="F18" s="15"/>
      <c r="G18" s="15"/>
      <c r="H18" s="15"/>
      <c r="I18" s="16"/>
      <c r="J18" s="16"/>
      <c r="K18" s="15"/>
      <c r="L18" s="15"/>
      <c r="M18" s="15"/>
    </row>
    <row r="19" customFormat="false" ht="30" hidden="false" customHeight="true" outlineLevel="0" collapsed="false">
      <c r="A19" s="14" t="str">
        <f aca="false">"TC"&amp;TEXT(ROW()-1,"000")</f>
        <v>TC018</v>
      </c>
      <c r="B19" s="15"/>
      <c r="C19" s="15"/>
      <c r="D19" s="15"/>
      <c r="E19" s="15"/>
      <c r="F19" s="15"/>
      <c r="G19" s="15"/>
      <c r="H19" s="15"/>
      <c r="I19" s="16"/>
      <c r="J19" s="16"/>
      <c r="K19" s="15"/>
      <c r="L19" s="15"/>
      <c r="M19" s="15"/>
    </row>
    <row r="20" customFormat="false" ht="30" hidden="false" customHeight="true" outlineLevel="0" collapsed="false">
      <c r="A20" s="14" t="str">
        <f aca="false">"TC"&amp;TEXT(ROW()-1,"000")</f>
        <v>TC019</v>
      </c>
      <c r="B20" s="15"/>
      <c r="C20" s="15"/>
      <c r="D20" s="15"/>
      <c r="E20" s="15"/>
      <c r="F20" s="15"/>
      <c r="G20" s="15"/>
      <c r="H20" s="15"/>
      <c r="I20" s="16"/>
      <c r="J20" s="16"/>
      <c r="K20" s="15"/>
      <c r="L20" s="15"/>
      <c r="M20" s="15"/>
    </row>
    <row r="21" customFormat="false" ht="30" hidden="false" customHeight="true" outlineLevel="0" collapsed="false">
      <c r="A21" s="14" t="str">
        <f aca="false">"TC"&amp;TEXT(ROW()-1,"000")</f>
        <v>TC020</v>
      </c>
      <c r="B21" s="15"/>
      <c r="C21" s="15"/>
      <c r="D21" s="15"/>
      <c r="E21" s="15"/>
      <c r="F21" s="15"/>
      <c r="G21" s="15"/>
      <c r="H21" s="15"/>
      <c r="I21" s="16"/>
      <c r="J21" s="16"/>
      <c r="K21" s="15"/>
      <c r="L21" s="15"/>
      <c r="M21" s="15"/>
    </row>
    <row r="22" customFormat="false" ht="30" hidden="false" customHeight="true" outlineLevel="0" collapsed="false">
      <c r="A22" s="14" t="str">
        <f aca="false">"TC"&amp;TEXT(ROW()-1,"000")</f>
        <v>TC021</v>
      </c>
      <c r="B22" s="15"/>
      <c r="C22" s="15"/>
      <c r="D22" s="15"/>
      <c r="E22" s="15"/>
      <c r="F22" s="15"/>
      <c r="G22" s="15"/>
      <c r="H22" s="15"/>
      <c r="I22" s="16"/>
      <c r="J22" s="16"/>
      <c r="K22" s="15"/>
      <c r="L22" s="15"/>
      <c r="M22" s="15"/>
    </row>
    <row r="23" customFormat="false" ht="30" hidden="false" customHeight="true" outlineLevel="0" collapsed="false">
      <c r="A23" s="14" t="str">
        <f aca="false">"TC"&amp;TEXT(ROW()-1,"000")</f>
        <v>TC022</v>
      </c>
      <c r="B23" s="15"/>
      <c r="C23" s="15"/>
      <c r="D23" s="15"/>
      <c r="E23" s="15"/>
      <c r="F23" s="15"/>
      <c r="G23" s="15"/>
      <c r="H23" s="15"/>
      <c r="I23" s="16"/>
      <c r="J23" s="16"/>
      <c r="K23" s="15"/>
      <c r="L23" s="15"/>
      <c r="M23" s="15"/>
    </row>
    <row r="24" customFormat="false" ht="30" hidden="false" customHeight="true" outlineLevel="0" collapsed="false">
      <c r="A24" s="14" t="str">
        <f aca="false">"TC"&amp;TEXT(ROW()-1,"000")</f>
        <v>TC023</v>
      </c>
      <c r="B24" s="15"/>
      <c r="C24" s="15"/>
      <c r="D24" s="15"/>
      <c r="E24" s="15"/>
      <c r="F24" s="15"/>
      <c r="G24" s="15"/>
      <c r="H24" s="15"/>
      <c r="I24" s="16"/>
      <c r="J24" s="16"/>
      <c r="K24" s="15"/>
      <c r="L24" s="15"/>
      <c r="M24" s="15"/>
    </row>
    <row r="25" customFormat="false" ht="30" hidden="false" customHeight="true" outlineLevel="0" collapsed="false">
      <c r="A25" s="14" t="str">
        <f aca="false">"TC"&amp;TEXT(ROW()-1,"000")</f>
        <v>TC024</v>
      </c>
      <c r="B25" s="15"/>
      <c r="C25" s="15"/>
      <c r="D25" s="15"/>
      <c r="E25" s="15"/>
      <c r="F25" s="15"/>
      <c r="G25" s="15"/>
      <c r="H25" s="15"/>
      <c r="I25" s="16"/>
      <c r="J25" s="16"/>
      <c r="K25" s="15"/>
      <c r="L25" s="15"/>
      <c r="M25" s="15"/>
    </row>
    <row r="26" customFormat="false" ht="30" hidden="false" customHeight="true" outlineLevel="0" collapsed="false">
      <c r="A26" s="14" t="str">
        <f aca="false">"TC"&amp;TEXT(ROW()-1,"000")</f>
        <v>TC025</v>
      </c>
      <c r="B26" s="15"/>
      <c r="C26" s="15"/>
      <c r="D26" s="15"/>
      <c r="E26" s="15"/>
      <c r="F26" s="15"/>
      <c r="G26" s="15"/>
      <c r="H26" s="15"/>
      <c r="I26" s="16"/>
      <c r="J26" s="16"/>
      <c r="K26" s="15"/>
      <c r="L26" s="15"/>
      <c r="M26" s="15"/>
    </row>
  </sheetData>
  <dataValidations count="2">
    <dataValidation allowBlank="true" errorStyle="stop" operator="between" showDropDown="false" showErrorMessage="false" showInputMessage="false" sqref="I3:I26" type="list">
      <formula1>"Not Run,Pass,Fail,Blocked"</formula1>
      <formula2>0</formula2>
    </dataValidation>
    <dataValidation allowBlank="true" errorStyle="stop" operator="between" showDropDown="false" showErrorMessage="false" showInputMessage="false" sqref="J3:J26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7" t="s">
        <v>39</v>
      </c>
      <c r="B1" s="17"/>
      <c r="C1" s="17"/>
      <c r="D1" s="17"/>
    </row>
    <row r="3" customFormat="false" ht="15" hidden="false" customHeight="false" outlineLevel="0" collapsed="false">
      <c r="A3" s="18" t="s">
        <v>40</v>
      </c>
      <c r="B3" s="18" t="s">
        <v>41</v>
      </c>
    </row>
    <row r="4" customFormat="false" ht="15" hidden="false" customHeight="false" outlineLevel="0" collapsed="false">
      <c r="A4" s="19" t="s">
        <v>42</v>
      </c>
      <c r="B4" s="20" t="n">
        <f aca="false">COUNTA('Test Cases'!A2:A26)</f>
        <v>25</v>
      </c>
    </row>
    <row r="5" customFormat="false" ht="15" hidden="false" customHeight="false" outlineLevel="0" collapsed="false">
      <c r="A5" s="21" t="s">
        <v>35</v>
      </c>
      <c r="B5" s="22" t="n">
        <f aca="false">COUNTIF('Test Cases'!I2:I26,"Pass")</f>
        <v>1</v>
      </c>
    </row>
    <row r="6" customFormat="false" ht="15" hidden="false" customHeight="false" outlineLevel="0" collapsed="false">
      <c r="A6" s="21" t="s">
        <v>43</v>
      </c>
      <c r="B6" s="22" t="n">
        <f aca="false">COUNTIF('Test Cases'!I2:I26,"Fail")</f>
        <v>0</v>
      </c>
    </row>
    <row r="7" customFormat="false" ht="15" hidden="false" customHeight="false" outlineLevel="0" collapsed="false">
      <c r="A7" s="21" t="s">
        <v>44</v>
      </c>
      <c r="B7" s="22" t="n">
        <f aca="false">COUNTIF('Test Cases'!I2:I26,"Blocked")</f>
        <v>0</v>
      </c>
    </row>
    <row r="8" customFormat="false" ht="15" hidden="false" customHeight="false" outlineLevel="0" collapsed="false">
      <c r="A8" s="21" t="s">
        <v>45</v>
      </c>
      <c r="B8" s="22" t="n">
        <f aca="false">COUNTIF('Test Cases'!I2:I26,"Not Run")</f>
        <v>0</v>
      </c>
    </row>
    <row r="10" customFormat="false" ht="15" hidden="false" customHeight="false" outlineLevel="0" collapsed="false">
      <c r="A10" s="23" t="s">
        <v>46</v>
      </c>
      <c r="B10" s="24" t="n">
        <f aca="false">IFERROR(B5/B4,0)</f>
        <v>0.04</v>
      </c>
    </row>
    <row r="12" customFormat="false" ht="15" hidden="false" customHeight="false" outlineLevel="0" collapsed="false">
      <c r="A12" s="25" t="s">
        <v>47</v>
      </c>
    </row>
    <row r="13" customFormat="false" ht="30" hidden="false" customHeight="true" outlineLevel="0" collapsed="false">
      <c r="A13" s="26" t="s">
        <v>48</v>
      </c>
      <c r="B13" s="26"/>
      <c r="C13" s="26"/>
      <c r="D13" s="26"/>
    </row>
  </sheetData>
  <mergeCells count="2">
    <mergeCell ref="A1:D1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6"/>
  </cols>
  <sheetData>
    <row r="1" customFormat="false" ht="31.5" hidden="false" customHeight="true" outlineLevel="0" collapsed="false">
      <c r="A1" s="11" t="s">
        <v>49</v>
      </c>
      <c r="B1" s="11" t="s">
        <v>50</v>
      </c>
      <c r="C1" s="11" t="s">
        <v>51</v>
      </c>
      <c r="D1" s="11" t="s">
        <v>52</v>
      </c>
      <c r="E1" s="11" t="s">
        <v>23</v>
      </c>
      <c r="F1" s="11" t="s">
        <v>53</v>
      </c>
      <c r="G1" s="11" t="s">
        <v>54</v>
      </c>
      <c r="H1" s="11" t="s">
        <v>55</v>
      </c>
      <c r="I1" s="11" t="s">
        <v>56</v>
      </c>
      <c r="J1" s="11" t="s">
        <v>57</v>
      </c>
    </row>
    <row r="2" customFormat="false" ht="30" hidden="false" customHeight="true" outlineLevel="0" collapsed="false">
      <c r="A2" s="12" t="str">
        <f aca="false">"DEF"&amp;TEXT(ROW()-1,"000")</f>
        <v>DEF001</v>
      </c>
      <c r="B2" s="12" t="s">
        <v>58</v>
      </c>
      <c r="C2" s="12" t="s">
        <v>59</v>
      </c>
      <c r="D2" s="12" t="s">
        <v>60</v>
      </c>
      <c r="E2" s="12" t="s">
        <v>61</v>
      </c>
      <c r="F2" s="12" t="s">
        <v>62</v>
      </c>
      <c r="G2" s="12"/>
      <c r="H2" s="12" t="s">
        <v>63</v>
      </c>
      <c r="I2" s="12"/>
      <c r="J2" s="12" t="s">
        <v>38</v>
      </c>
    </row>
    <row r="3" customFormat="false" ht="19.5" hidden="false" customHeight="true" outlineLevel="0" collapsed="false">
      <c r="A3" s="14" t="str">
        <f aca="false">"DEF"&amp;TEXT(ROW()-1,"000")</f>
        <v>DEF002</v>
      </c>
      <c r="B3" s="15"/>
      <c r="C3" s="15"/>
      <c r="D3" s="16"/>
      <c r="E3" s="16"/>
      <c r="F3" s="15"/>
      <c r="G3" s="15"/>
      <c r="H3" s="15"/>
      <c r="I3" s="15"/>
      <c r="J3" s="15"/>
    </row>
    <row r="4" customFormat="false" ht="19.5" hidden="false" customHeight="true" outlineLevel="0" collapsed="false">
      <c r="A4" s="14" t="str">
        <f aca="false">"DEF"&amp;TEXT(ROW()-1,"000")</f>
        <v>DEF003</v>
      </c>
      <c r="B4" s="15"/>
      <c r="C4" s="15"/>
      <c r="D4" s="16"/>
      <c r="E4" s="16"/>
      <c r="F4" s="15"/>
      <c r="G4" s="15"/>
      <c r="H4" s="15"/>
      <c r="I4" s="15"/>
      <c r="J4" s="15"/>
    </row>
    <row r="5" customFormat="false" ht="19.5" hidden="false" customHeight="true" outlineLevel="0" collapsed="false">
      <c r="A5" s="14" t="str">
        <f aca="false">"DEF"&amp;TEXT(ROW()-1,"000")</f>
        <v>DEF004</v>
      </c>
      <c r="B5" s="15"/>
      <c r="C5" s="15"/>
      <c r="D5" s="16"/>
      <c r="E5" s="16"/>
      <c r="F5" s="15"/>
      <c r="G5" s="15"/>
      <c r="H5" s="15"/>
      <c r="I5" s="15"/>
      <c r="J5" s="15"/>
    </row>
    <row r="6" customFormat="false" ht="19.5" hidden="false" customHeight="true" outlineLevel="0" collapsed="false">
      <c r="A6" s="14" t="str">
        <f aca="false">"DEF"&amp;TEXT(ROW()-1,"000")</f>
        <v>DEF005</v>
      </c>
      <c r="B6" s="15"/>
      <c r="C6" s="15"/>
      <c r="D6" s="16"/>
      <c r="E6" s="16"/>
      <c r="F6" s="15"/>
      <c r="G6" s="15"/>
      <c r="H6" s="15"/>
      <c r="I6" s="15"/>
      <c r="J6" s="15"/>
    </row>
    <row r="7" customFormat="false" ht="19.5" hidden="false" customHeight="true" outlineLevel="0" collapsed="false">
      <c r="A7" s="14" t="str">
        <f aca="false">"DEF"&amp;TEXT(ROW()-1,"000")</f>
        <v>DEF006</v>
      </c>
      <c r="B7" s="15"/>
      <c r="C7" s="15"/>
      <c r="D7" s="16"/>
      <c r="E7" s="16"/>
      <c r="F7" s="15"/>
      <c r="G7" s="15"/>
      <c r="H7" s="15"/>
      <c r="I7" s="15"/>
      <c r="J7" s="15"/>
    </row>
    <row r="8" customFormat="false" ht="19.5" hidden="false" customHeight="true" outlineLevel="0" collapsed="false">
      <c r="A8" s="14" t="str">
        <f aca="false">"DEF"&amp;TEXT(ROW()-1,"000")</f>
        <v>DEF007</v>
      </c>
      <c r="B8" s="15"/>
      <c r="C8" s="15"/>
      <c r="D8" s="16"/>
      <c r="E8" s="16"/>
      <c r="F8" s="15"/>
      <c r="G8" s="15"/>
      <c r="H8" s="15"/>
      <c r="I8" s="15"/>
      <c r="J8" s="15"/>
    </row>
    <row r="9" customFormat="false" ht="19.5" hidden="false" customHeight="true" outlineLevel="0" collapsed="false">
      <c r="A9" s="14" t="str">
        <f aca="false">"DEF"&amp;TEXT(ROW()-1,"000")</f>
        <v>DEF008</v>
      </c>
      <c r="B9" s="15"/>
      <c r="C9" s="15"/>
      <c r="D9" s="16"/>
      <c r="E9" s="16"/>
      <c r="F9" s="15"/>
      <c r="G9" s="15"/>
      <c r="H9" s="15"/>
      <c r="I9" s="15"/>
      <c r="J9" s="15"/>
    </row>
    <row r="10" customFormat="false" ht="19.5" hidden="false" customHeight="true" outlineLevel="0" collapsed="false">
      <c r="A10" s="14" t="str">
        <f aca="false">"DEF"&amp;TEXT(ROW()-1,"000")</f>
        <v>DEF009</v>
      </c>
      <c r="B10" s="15"/>
      <c r="C10" s="15"/>
      <c r="D10" s="16"/>
      <c r="E10" s="16"/>
      <c r="F10" s="15"/>
      <c r="G10" s="15"/>
      <c r="H10" s="15"/>
      <c r="I10" s="15"/>
      <c r="J10" s="15"/>
    </row>
    <row r="11" customFormat="false" ht="19.5" hidden="false" customHeight="true" outlineLevel="0" collapsed="false">
      <c r="A11" s="14" t="str">
        <f aca="false">"DEF"&amp;TEXT(ROW()-1,"000")</f>
        <v>DEF010</v>
      </c>
      <c r="B11" s="15"/>
      <c r="C11" s="15"/>
      <c r="D11" s="16"/>
      <c r="E11" s="16"/>
      <c r="F11" s="15"/>
      <c r="G11" s="15"/>
      <c r="H11" s="15"/>
      <c r="I11" s="15"/>
      <c r="J11" s="15"/>
    </row>
    <row r="12" customFormat="false" ht="19.5" hidden="false" customHeight="true" outlineLevel="0" collapsed="false">
      <c r="A12" s="14" t="str">
        <f aca="false">"DEF"&amp;TEXT(ROW()-1,"000")</f>
        <v>DEF011</v>
      </c>
      <c r="B12" s="15"/>
      <c r="C12" s="15"/>
      <c r="D12" s="16"/>
      <c r="E12" s="16"/>
      <c r="F12" s="15"/>
      <c r="G12" s="15"/>
      <c r="H12" s="15"/>
      <c r="I12" s="15"/>
      <c r="J12" s="15"/>
    </row>
    <row r="13" customFormat="false" ht="19.5" hidden="false" customHeight="true" outlineLevel="0" collapsed="false">
      <c r="A13" s="14" t="str">
        <f aca="false">"DEF"&amp;TEXT(ROW()-1,"000")</f>
        <v>DEF012</v>
      </c>
      <c r="B13" s="15"/>
      <c r="C13" s="15"/>
      <c r="D13" s="16"/>
      <c r="E13" s="16"/>
      <c r="F13" s="15"/>
      <c r="G13" s="15"/>
      <c r="H13" s="15"/>
      <c r="I13" s="15"/>
      <c r="J13" s="15"/>
    </row>
    <row r="14" customFormat="false" ht="19.5" hidden="false" customHeight="true" outlineLevel="0" collapsed="false">
      <c r="A14" s="14" t="str">
        <f aca="false">"DEF"&amp;TEXT(ROW()-1,"000")</f>
        <v>DEF013</v>
      </c>
      <c r="B14" s="15"/>
      <c r="C14" s="15"/>
      <c r="D14" s="16"/>
      <c r="E14" s="16"/>
      <c r="F14" s="15"/>
      <c r="G14" s="15"/>
      <c r="H14" s="15"/>
      <c r="I14" s="15"/>
      <c r="J14" s="15"/>
    </row>
    <row r="15" customFormat="false" ht="19.5" hidden="false" customHeight="true" outlineLevel="0" collapsed="false">
      <c r="A15" s="14" t="str">
        <f aca="false">"DEF"&amp;TEXT(ROW()-1,"000")</f>
        <v>DEF014</v>
      </c>
      <c r="B15" s="15"/>
      <c r="C15" s="15"/>
      <c r="D15" s="16"/>
      <c r="E15" s="16"/>
      <c r="F15" s="15"/>
      <c r="G15" s="15"/>
      <c r="H15" s="15"/>
      <c r="I15" s="15"/>
      <c r="J15" s="15"/>
    </row>
    <row r="16" customFormat="false" ht="19.5" hidden="false" customHeight="true" outlineLevel="0" collapsed="false">
      <c r="A16" s="14" t="str">
        <f aca="false">"DEF"&amp;TEXT(ROW()-1,"000")</f>
        <v>DEF015</v>
      </c>
      <c r="B16" s="15"/>
      <c r="C16" s="15"/>
      <c r="D16" s="16"/>
      <c r="E16" s="16"/>
      <c r="F16" s="15"/>
      <c r="G16" s="15"/>
      <c r="H16" s="15"/>
      <c r="I16" s="15"/>
      <c r="J16" s="15"/>
    </row>
    <row r="17" customFormat="false" ht="19.5" hidden="false" customHeight="true" outlineLevel="0" collapsed="false">
      <c r="A17" s="14" t="str">
        <f aca="false">"DEF"&amp;TEXT(ROW()-1,"000")</f>
        <v>DEF016</v>
      </c>
      <c r="B17" s="15"/>
      <c r="C17" s="15"/>
      <c r="D17" s="16"/>
      <c r="E17" s="16"/>
      <c r="F17" s="15"/>
      <c r="G17" s="15"/>
      <c r="H17" s="15"/>
      <c r="I17" s="15"/>
      <c r="J17" s="15"/>
    </row>
  </sheetData>
  <dataValidations count="2">
    <dataValidation allowBlank="true" errorStyle="stop" operator="between" showDropDown="false" showErrorMessage="false" showInputMessage="false" sqref="D3:D17" type="list">
      <formula1>"Critical,High,Medium,Low"</formula1>
      <formula2>0</formula2>
    </dataValidation>
    <dataValidation allowBlank="true" errorStyle="stop" operator="between" showDropDown="false" showErrorMessage="false" showInputMessage="false" sqref="E3:E17" type="list">
      <formula1>"Open,In Progress,Fixed,Closed,Reopened"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2026-08-28T11:13:36Z</dcterms:created>
  <dc:creator>openpyxl</dc:creator>
  <dc:description/>
  <dc:language>en-US</dc:language>
  <cp:lastModifiedBy/>
  <dcterms:modified xsi:type="dcterms:W3CDTF">2026-08-28T18:13:44Z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