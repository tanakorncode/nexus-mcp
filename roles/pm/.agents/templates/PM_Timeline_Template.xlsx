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คำแนะนำ" sheetId="1" state="visible" r:id="rId3"/>
    <sheet name="สรุปภาพรวม" sheetId="2" state="visible" r:id="rId4"/>
    <sheet name="Gantt Chart รายเดือน" sheetId="3" state="visible" r:id="rId5"/>
    <sheet name="Timeline รายสัปดาห์" sheetId="4" state="visible" r:id="rId6"/>
    <sheet name="รายละเอียดการส่งมอบ" sheetId="5" state="visible" r:id="rId7"/>
    <sheet name="Follow up" sheetId="6" state="visible" r:id="rId8"/>
    <sheet name="BR Regist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<sst xmlns="http://schemas.openxmlformats.org/spreadsheetml/2006/main" count="224" uniqueCount="129">
  <si>
    <t xml:space="preserve">Template: ตารางบริหารโครงการ (Project Management Timeline Template)</t>
  </si>
  <si>
    <t xml:space="preserve">ดัดแปลงจากไฟล์ Timeline โครงการจริง (PEA LINE Official Account) ตัดข้อมูลเฉพาะโครงการออก เหลือโครงสร้าง/สูตร/รูปแบบไว้ใช้ซ้ำกับโครงการอื่นได้</t>
  </si>
  <si>
    <t xml:space="preserve">วิธีใช้งาน</t>
  </si>
  <si>
    <t xml:space="preserve">1. เริ่มจากชีท "สรุปภาพรวม" — กรอกชื่อหน่วยงาน/โครงการ ระยะเวลา และรายการงวดส่งมอบ</t>
  </si>
  <si>
    <t xml:space="preserve">2. ใช้ชีท "Gantt Chart รายเดือน" สำหรับนำเสนอภาพรวมระดับผู้บริหาร (สรุปเป็นรายเดือน)</t>
  </si>
  <si>
    <t xml:space="preserve">3. ใช้ชีท "Timeline รายสัปดาห์" สำหรับวางแผนงานละเอียดระดับทีมงาน (ราย W1-W4 ต่อเดือน)</t>
  </si>
  <si>
    <t xml:space="preserve">4. ใช้ชีท "รายละเอียดการส่งมอบ" ระบุเอกสาร/หลักฐานที่ต้องส่งในแต่ละงวด</t>
  </si>
  <si>
    <t xml:space="preserve">5. ใช้ชีท "Follow up" บันทึกการติดตามงานกับลูกค้า/ผู้เกี่ยวข้องระหว่างโครงการ</t>
  </si>
  <si>
    <t xml:space="preserve">6. ใช้ชีท "BR Register" ขึ้นทะเบียน Business Requirement พร้อม Priority และอ้างอิง TOR</t>
  </si>
  <si>
    <t xml:space="preserve">สัญลักษณ์ / คำอธิบาย</t>
  </si>
  <si>
    <t xml:space="preserve">      สีเหลือง = ช่องที่ต้องกรอกข้อมูลเอง (input cells)</t>
  </si>
  <si>
    <t xml:space="preserve">      ตัวเอียงสีเทา = แถวตัวอย่าง (ตัวอย่างรูปแบบข้อมูล) ลบ/แก้ไขเป็นข้อมูลจริงได้</t>
  </si>
  <si>
    <t xml:space="preserve">      เขียว = เสร็จสิ้น / Completed</t>
  </si>
  <si>
    <t xml:space="preserve">      เหลืองอำพัน = กำลังดำเนินการ / In Progress</t>
  </si>
  <si>
    <t xml:space="preserve">      ฟ้า = รอดำเนินการ / Pending</t>
  </si>
  <si>
    <t xml:space="preserve">      ส้ม (◆) = งวดส่งมอบ / Milestone</t>
  </si>
  <si>
    <t xml:space="preserve">สูตรที่ผูกไว้ (COUNTIF/SUM/VAT) จะคำนวณใหม่อัตโนมัติเมื่อแก้ไขข้อมูล — อย่าเขียนตัวเลขทับสูตรในช่องสีดำ หากโครงการยาวกว่า 12 เดือน หรือมีงานมากกว่าตัวอย่าง ให้คัดลอกแถว/คอลัมน์เพิ่มตามรูปแบบเดิม</t>
  </si>
  <si>
    <t xml:space="preserve">[ชื่อหน่วยงาน / ลูกค้า]</t>
  </si>
  <si>
    <t xml:space="preserve">Timeline การส่งมอบงาน : [ชื่อโครงการ]</t>
  </si>
  <si>
    <t xml:space="preserve">งวดที่</t>
  </si>
  <si>
    <t xml:space="preserve">ระยะเวลา
(เดือน)</t>
  </si>
  <si>
    <t xml:space="preserve">กำหนดส่งมอบ
(นับจากวันเริ่มต้น)</t>
  </si>
  <si>
    <t xml:space="preserve">ประเภทงาน</t>
  </si>
  <si>
    <t xml:space="preserve">รายการส่งมอบหลัก</t>
  </si>
  <si>
    <t xml:space="preserve">ขอบเขตการดำเนินงาน
(อ้างอิง TOR)</t>
  </si>
  <si>
    <t xml:space="preserve">% ค่าจ้าง</t>
  </si>
  <si>
    <t xml:space="preserve">มูลค่า (บาท)
(ก่อน VAT)</t>
  </si>
  <si>
    <t xml:space="preserve">สถานะ</t>
  </si>
  <si>
    <t xml:space="preserve">วันที่แจ้ง
ส่งมอบ</t>
  </si>
  <si>
    <t xml:space="preserve">วันที่ลูกค้า
ตรวจรับ</t>
  </si>
  <si>
    <t xml:space="preserve">หมายเหตุ</t>
  </si>
  <si>
    <t xml:space="preserve">งวดที่ 1</t>
  </si>
  <si>
    <t xml:space="preserve">ภายใน 3 เดือน
(นับจากวันที่แจ้งให้เริ่มดำเนินการตามสัญญา)</t>
  </si>
  <si>
    <t xml:space="preserve">[ประเภทงาน]</t>
  </si>
  <si>
    <t xml:space="preserve">1) [รายการส่งมอบ]
2) [รายการส่งมอบ]</t>
  </si>
  <si>
    <t xml:space="preserve">ข้อ [X.X]</t>
  </si>
  <si>
    <t xml:space="preserve">รอดำเนินการ</t>
  </si>
  <si>
    <t xml:space="preserve">ตัวอย่าง — แก้ไข/ลบแถวนี้เป็นข้อมูลจริง</t>
  </si>
  <si>
    <t xml:space="preserve">งวดที่ 2</t>
  </si>
  <si>
    <t xml:space="preserve">งวดที่ 3</t>
  </si>
  <si>
    <t xml:space="preserve">งวดที่ 4</t>
  </si>
  <si>
    <t xml:space="preserve">งวดที่ 5</t>
  </si>
  <si>
    <t xml:space="preserve">งวดที่ 6</t>
  </si>
  <si>
    <t xml:space="preserve">งวดที่ 7</t>
  </si>
  <si>
    <t xml:space="preserve">งวดที่ 8</t>
  </si>
  <si>
    <t xml:space="preserve">งวดที่ 9</t>
  </si>
  <si>
    <t xml:space="preserve">งวดที่ 10</t>
  </si>
  <si>
    <t xml:space="preserve">รวมทั้งสิ้น</t>
  </si>
  <si>
    <t xml:space="preserve">ภาษีมูลค่าเพิ่ม 7%</t>
  </si>
  <si>
    <t xml:space="preserve">มูลค่ารวมทั้งสิ้น (รวม VAT)</t>
  </si>
  <si>
    <t xml:space="preserve">คำอธิบาย / Legend</t>
  </si>
  <si>
    <t xml:space="preserve">สีเหลือง = ช่องกรอกข้อมูลจริงของโครงการ</t>
  </si>
  <si>
    <t xml:space="preserve">ตัวเอียงสีเทา = แถวตัวอย่าง</t>
  </si>
  <si>
    <t xml:space="preserve">แถว 16-18 เป็นสูตร (SUM / VAT 7%) คำนวณอัตโนมัติจากแถวงวดด้านบน ไม่ต้องแก้ไขด้วยมือ</t>
  </si>
  <si>
    <t xml:space="preserve">Gantt Chart – Timeline : [ชื่อโครงการ]</t>
  </si>
  <si>
    <t xml:space="preserve">■ = เสร็จสิ้น    ■ = กำลังดำเนินการ    ■ = รอดำเนินการ    ◆ = งวดส่งมอบ / Milestone</t>
  </si>
  <si>
    <t xml:space="preserve">งาน / Activity</t>
  </si>
  <si>
    <t xml:space="preserve">วันที่เริ่มต้น</t>
  </si>
  <si>
    <t xml:space="preserve">วันที่สิ้นสุด</t>
  </si>
  <si>
    <t xml:space="preserve">เดือนที่ 1</t>
  </si>
  <si>
    <t xml:space="preserve">เดือนที่ 2</t>
  </si>
  <si>
    <t xml:space="preserve">เดือนที่ 3</t>
  </si>
  <si>
    <t xml:space="preserve">เดือนที่ 4</t>
  </si>
  <si>
    <t xml:space="preserve">เดือนที่ 5</t>
  </si>
  <si>
    <t xml:space="preserve">เดือนที่ 6</t>
  </si>
  <si>
    <t xml:space="preserve">เดือนที่ 7</t>
  </si>
  <si>
    <t xml:space="preserve">เดือนที่ 8</t>
  </si>
  <si>
    <t xml:space="preserve">เดือนที่ 9</t>
  </si>
  <si>
    <t xml:space="preserve">เดือนที่ 10</t>
  </si>
  <si>
    <t xml:space="preserve">เดือนที่ 11</t>
  </si>
  <si>
    <t xml:space="preserve">เดือนที่ 12</t>
  </si>
  <si>
    <t xml:space="preserve">[ตัวอย่าง] เก็บ Requirement / วิเคราะห์ระบบ</t>
  </si>
  <si>
    <t xml:space="preserve">01/01/2570</t>
  </si>
  <si>
    <t xml:space="preserve">28/02/2570</t>
  </si>
  <si>
    <t xml:space="preserve">■</t>
  </si>
  <si>
    <t xml:space="preserve">[ตัวอย่าง] ส่งมอบเอกสารงวดที่ 1 (Milestone)</t>
  </si>
  <si>
    <t xml:space="preserve">◆</t>
  </si>
  <si>
    <t xml:space="preserve">Timeline โครงการ : [ชื่อโครงการ]</t>
  </si>
  <si>
    <t xml:space="preserve">ลำดับ</t>
  </si>
  <si>
    <t xml:space="preserve">W1</t>
  </si>
  <si>
    <t xml:space="preserve">W2</t>
  </si>
  <si>
    <t xml:space="preserve">W3</t>
  </si>
  <si>
    <t xml:space="preserve">W4</t>
  </si>
  <si>
    <t xml:space="preserve">[งวดที่ 1] : ระหว่างวันที่ [วันเริ่ม] – [วันสิ้นสุด] (ตัวอย่างหัวข้อกลุ่มงาน — แก้ไขข้อความและเพิ่ม/ลบกลุ่มได้ตามจำนวนงวดจริง)</t>
  </si>
  <si>
    <t xml:space="preserve">[ตัวอย่าง] ดำเนินการประชุมเริ่มต้นโครงการ (Kick-off)</t>
  </si>
  <si>
    <t xml:space="preserve">[ชื่อผู้รับผิดชอบ]</t>
  </si>
  <si>
    <t xml:space="preserve">Completed</t>
  </si>
  <si>
    <t xml:space="preserve">[ตัวอย่าง] จัดทำแผนการดำเนินการโครงการ</t>
  </si>
  <si>
    <t xml:space="preserve">In Progress</t>
  </si>
  <si>
    <t xml:space="preserve">Pending</t>
  </si>
  <si>
    <t xml:space="preserve">เอกสารส่งมอบ งวดที่ 1 (ตัวอย่างหัวข้อ — แก้ไข/เพิ่มรายการเอกสารส่งมอบจริงด้านล่าง)</t>
  </si>
  <si>
    <t xml:space="preserve">รายละเอียดรายการส่งมอบงานแต่ละงวด</t>
  </si>
  <si>
    <t xml:space="preserve">[ชื่อโครงการ]  |  อ้างอิง TOR ข้อ [X]</t>
  </si>
  <si>
    <t xml:space="preserve">หมวดงาน</t>
  </si>
  <si>
    <t xml:space="preserve">รายการส่งมอบ</t>
  </si>
  <si>
    <t xml:space="preserve">เอกสาร / หลักฐาน</t>
  </si>
  <si>
    <t xml:space="preserve">TOR อ้างอิง</t>
  </si>
  <si>
    <t xml:space="preserve">ผู้รับผิดชอบ</t>
  </si>
  <si>
    <t xml:space="preserve">งวดที่ 1
(ตัวอย่าง)</t>
  </si>
  <si>
    <t xml:space="preserve">1.1 [หมวดงาน]</t>
  </si>
  <si>
    <t xml:space="preserve">[ตัวอย่าง] รายการส่งมอบที่ 1</t>
  </si>
  <si>
    <t xml:space="preserve">[เอกสาร/หลักฐาน]</t>
  </si>
  <si>
    <t xml:space="preserve">TOR ข้อ [X.X]</t>
  </si>
  <si>
    <t xml:space="preserve">[ผู้รับผิดชอบ]</t>
  </si>
  <si>
    <t xml:space="preserve">ตัวอย่าง</t>
  </si>
  <si>
    <t xml:space="preserve">1.2 [หมวดงาน]</t>
  </si>
  <si>
    <t xml:space="preserve">[ตัวอย่าง] รายการส่งมอบที่ 2</t>
  </si>
  <si>
    <t xml:space="preserve">1.3 [หมวดงาน]</t>
  </si>
  <si>
    <t xml:space="preserve">[ตัวอย่าง] รายการส่งมอบที่ 3</t>
  </si>
  <si>
    <t xml:space="preserve">ติดตามข้อมูลจาก [ชื่อลูกค้า / ผู้เกี่ยวข้อง]</t>
  </si>
  <si>
    <t xml:space="preserve">รายละเอียดการดำเนินการ</t>
  </si>
  <si>
    <t xml:space="preserve">วันที่ติดตาม</t>
  </si>
  <si>
    <t xml:space="preserve">สถานะดำเนินการ</t>
  </si>
  <si>
    <t xml:space="preserve">[ตัวอย่าง] หนังสือขอสิทธิ์ / ข้อมูลจากลูกค้า</t>
  </si>
  <si>
    <t xml:space="preserve">dd/mm/yy</t>
  </si>
  <si>
    <t xml:space="preserve">Business Requirement Register — [ชื่อโครงการ]</t>
  </si>
  <si>
    <t xml:space="preserve">BR ID</t>
  </si>
  <si>
    <t xml:space="preserve">Business Requirement</t>
  </si>
  <si>
    <t xml:space="preserve">Priority</t>
  </si>
  <si>
    <t xml:space="preserve">Role</t>
  </si>
  <si>
    <t xml:space="preserve">Process</t>
  </si>
  <si>
    <t xml:space="preserve">TOR No.</t>
  </si>
  <si>
    <t xml:space="preserve">From</t>
  </si>
  <si>
    <t xml:space="preserve">Remark</t>
  </si>
  <si>
    <t xml:space="preserve">Status</t>
  </si>
  <si>
    <t xml:space="preserve">[ตัวอย่าง] ข้อความ Business Requirement ที่ต้องการ</t>
  </si>
  <si>
    <t xml:space="preserve">High</t>
  </si>
  <si>
    <t xml:space="preserve">TOR</t>
  </si>
  <si>
    <t xml:space="preserve">Open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</si>
</sst>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6500"/>
      <name val="Arial"/>
      <family val="0"/>
      <charset val="1"/>
    </font>
    <font>
      <sz val="10"/>
      <color rgb="FF1F4E78"/>
      <name val="Arial"/>
      <family val="0"/>
      <charset val="1"/>
    </font>
    <font>
      <sz val="10"/>
      <color rgb="FF843C0C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FFEB9C"/>
      <name val="Arial"/>
      <family val="0"/>
      <charset val="1"/>
    </font>
    <font>
      <sz val="10"/>
      <color rgb="FFF8CBAD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C6EFCE"/>
      <name val="Arial"/>
      <family val="0"/>
      <charset val="1"/>
    </font>
    <font>
      <sz val="8"/>
      <color rgb="FFFFEB9C"/>
      <name val="Arial"/>
      <family val="0"/>
      <charset val="1"/>
    </font>
    <font>
      <sz val="8"/>
      <color rgb="FFDDEBF7"/>
      <name val="Arial"/>
      <family val="0"/>
      <charset val="1"/>
    </font>
    <font>
      <i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8CBAD"/>
      </patternFill>
    </fill>
    <fill>
      <patternFill patternType="solid">
        <fgColor rgb="FFDDEBF7"/>
        <bgColor rgb="FFEBE7F1"/>
      </patternFill>
    </fill>
    <fill>
      <patternFill patternType="solid">
        <fgColor rgb="FFF8CBAD"/>
        <bgColor rgb="FFFFEB9C"/>
      </patternFill>
    </fill>
    <fill>
      <patternFill patternType="solid">
        <fgColor rgb="FF1F4E78"/>
        <bgColor rgb="FF003366"/>
      </patternFill>
    </fill>
    <fill>
      <patternFill patternType="solid">
        <fgColor rgb="FFEBE7F1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EBE7F1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43C0C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8.65" hidden="false" customHeight="false" outlineLevel="0" collapsed="false">
      <c r="B2" s="1" t="s">
        <v>0</v>
      </c>
    </row>
    <row r="3" customFormat="false" ht="30" hidden="false" customHeight="tru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4" t="s">
        <v>3</v>
      </c>
    </row>
    <row r="7" customFormat="false" ht="23.85" hidden="false" customHeight="false" outlineLevel="0" collapsed="false">
      <c r="B7" s="4" t="s">
        <v>4</v>
      </c>
    </row>
    <row r="8" customFormat="false" ht="23.8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5" t="s">
        <v>10</v>
      </c>
    </row>
    <row r="15" customFormat="false" ht="15" hidden="false" customHeight="false" outlineLevel="0" collapsed="false">
      <c r="B15" s="6" t="s">
        <v>11</v>
      </c>
    </row>
    <row r="16" customFormat="false" ht="15" hidden="false" customHeight="false" outlineLevel="0" collapsed="false">
      <c r="B16" s="7" t="s">
        <v>12</v>
      </c>
    </row>
    <row r="17" customFormat="false" ht="15" hidden="false" customHeight="false" outlineLevel="0" collapsed="false">
      <c r="B17" s="8" t="s">
        <v>13</v>
      </c>
    </row>
    <row r="18" customFormat="false" ht="15" hidden="false" customHeight="false" outlineLevel="0" collapsed="false">
      <c r="B18" s="9" t="s">
        <v>14</v>
      </c>
    </row>
    <row r="19" customFormat="false" ht="15" hidden="false" customHeight="false" outlineLevel="0" collapsed="false">
      <c r="B19" s="10" t="s">
        <v>15</v>
      </c>
    </row>
    <row r="21" customFormat="false" ht="39.75" hidden="false" customHeight="true" outlineLevel="0" collapsed="false">
      <c r="B21" s="1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2" min="12" style="0" width="24"/>
  </cols>
  <sheetData>
    <row r="1" customFormat="false" ht="15" hidden="false" customHeight="false" outlineLevel="0" collapsed="false">
      <c r="A1" s="12" t="s">
        <v>17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14.15" hidden="false" customHeight="false" outlineLevel="0" collapsed="false">
      <c r="A2" s="13" t="s">
        <v>18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customFormat="false" ht="12.65" hidden="false" customHeight="false" outlineLevel="0" collapsed="false">
      <c r="A3" s="14" t="str">
        <f aca="false">"ระยะเวลาดำเนินการ: "&amp;SUM(B6:B15)&amp;" เดือน (รวมทุกงวด)  |  งบประมาณรวม (รวม VAT 7%): "&amp;TEXT(H18,"#,##0")&amp;" บาท  |  จำนวนงวดส่งมอบ: "&amp;COUNTA(A6:A15)&amp;" งวด"</f>
        <v>ระยะเวลาดำเนินการ: 3 เดือน (รวมทุกงวด)  |  งบประมาณรวม (รวม VAT 7%): 963,000 บาท  |  จำนวนงวดส่งมอบ: 10 งวด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5" customFormat="false" ht="31.5" hidden="false" customHeight="true" outlineLevel="0" collapsed="false">
      <c r="A5" s="15" t="s">
        <v>19</v>
      </c>
      <c r="B5" s="15" t="s">
        <v>20</v>
      </c>
      <c r="C5" s="15" t="s">
        <v>21</v>
      </c>
      <c r="D5" s="15" t="s">
        <v>22</v>
      </c>
      <c r="E5" s="15" t="s">
        <v>23</v>
      </c>
      <c r="F5" s="15" t="s">
        <v>24</v>
      </c>
      <c r="G5" s="15" t="s">
        <v>25</v>
      </c>
      <c r="H5" s="15" t="s">
        <v>26</v>
      </c>
      <c r="I5" s="15" t="s">
        <v>27</v>
      </c>
      <c r="J5" s="15" t="s">
        <v>28</v>
      </c>
      <c r="K5" s="15" t="s">
        <v>29</v>
      </c>
      <c r="L5" s="15" t="s">
        <v>30</v>
      </c>
    </row>
    <row r="6" customFormat="false" ht="45" hidden="false" customHeight="true" outlineLevel="0" collapsed="false">
      <c r="A6" s="16" t="s">
        <v>31</v>
      </c>
      <c r="B6" s="16" t="n">
        <v>3</v>
      </c>
      <c r="C6" s="16" t="s">
        <v>32</v>
      </c>
      <c r="D6" s="16" t="s">
        <v>33</v>
      </c>
      <c r="E6" s="16" t="s">
        <v>34</v>
      </c>
      <c r="F6" s="16" t="s">
        <v>35</v>
      </c>
      <c r="G6" s="17" t="n">
        <v>0.1</v>
      </c>
      <c r="H6" s="18" t="n">
        <v>900000</v>
      </c>
      <c r="I6" s="16" t="s">
        <v>36</v>
      </c>
      <c r="J6" s="16"/>
      <c r="K6" s="16"/>
      <c r="L6" s="16" t="s">
        <v>37</v>
      </c>
    </row>
    <row r="7" customFormat="false" ht="39.75" hidden="false" customHeight="true" outlineLevel="0" collapsed="false">
      <c r="A7" s="19" t="s">
        <v>38</v>
      </c>
      <c r="B7" s="20"/>
      <c r="C7" s="19"/>
      <c r="D7" s="20"/>
      <c r="E7" s="20"/>
      <c r="F7" s="20"/>
      <c r="G7" s="21"/>
      <c r="H7" s="22"/>
      <c r="I7" s="19" t="s">
        <v>36</v>
      </c>
      <c r="J7" s="20"/>
      <c r="K7" s="20"/>
      <c r="L7" s="20"/>
    </row>
    <row r="8" customFormat="false" ht="39.75" hidden="false" customHeight="true" outlineLevel="0" collapsed="false">
      <c r="A8" s="19" t="s">
        <v>39</v>
      </c>
      <c r="B8" s="20"/>
      <c r="C8" s="19"/>
      <c r="D8" s="20"/>
      <c r="E8" s="20"/>
      <c r="F8" s="20"/>
      <c r="G8" s="21"/>
      <c r="H8" s="22"/>
      <c r="I8" s="19" t="s">
        <v>36</v>
      </c>
      <c r="J8" s="20"/>
      <c r="K8" s="20"/>
      <c r="L8" s="20"/>
    </row>
    <row r="9" customFormat="false" ht="39.75" hidden="false" customHeight="true" outlineLevel="0" collapsed="false">
      <c r="A9" s="19" t="s">
        <v>40</v>
      </c>
      <c r="B9" s="20"/>
      <c r="C9" s="19"/>
      <c r="D9" s="20"/>
      <c r="E9" s="20"/>
      <c r="F9" s="20"/>
      <c r="G9" s="21"/>
      <c r="H9" s="22"/>
      <c r="I9" s="19" t="s">
        <v>36</v>
      </c>
      <c r="J9" s="20"/>
      <c r="K9" s="20"/>
      <c r="L9" s="20"/>
    </row>
    <row r="10" customFormat="false" ht="39.75" hidden="false" customHeight="true" outlineLevel="0" collapsed="false">
      <c r="A10" s="19" t="s">
        <v>41</v>
      </c>
      <c r="B10" s="20"/>
      <c r="C10" s="19"/>
      <c r="D10" s="20"/>
      <c r="E10" s="20"/>
      <c r="F10" s="20"/>
      <c r="G10" s="21"/>
      <c r="H10" s="22"/>
      <c r="I10" s="19" t="s">
        <v>36</v>
      </c>
      <c r="J10" s="20"/>
      <c r="K10" s="20"/>
      <c r="L10" s="20"/>
    </row>
    <row r="11" customFormat="false" ht="39.75" hidden="false" customHeight="true" outlineLevel="0" collapsed="false">
      <c r="A11" s="19" t="s">
        <v>42</v>
      </c>
      <c r="B11" s="20"/>
      <c r="C11" s="19"/>
      <c r="D11" s="20"/>
      <c r="E11" s="20"/>
      <c r="F11" s="20"/>
      <c r="G11" s="21"/>
      <c r="H11" s="22"/>
      <c r="I11" s="19" t="s">
        <v>36</v>
      </c>
      <c r="J11" s="20"/>
      <c r="K11" s="20"/>
      <c r="L11" s="20"/>
    </row>
    <row r="12" customFormat="false" ht="39.75" hidden="false" customHeight="true" outlineLevel="0" collapsed="false">
      <c r="A12" s="19" t="s">
        <v>43</v>
      </c>
      <c r="B12" s="20"/>
      <c r="C12" s="19"/>
      <c r="D12" s="20"/>
      <c r="E12" s="20"/>
      <c r="F12" s="20"/>
      <c r="G12" s="21"/>
      <c r="H12" s="22"/>
      <c r="I12" s="19" t="s">
        <v>36</v>
      </c>
      <c r="J12" s="20"/>
      <c r="K12" s="20"/>
      <c r="L12" s="20"/>
    </row>
    <row r="13" customFormat="false" ht="39.75" hidden="false" customHeight="true" outlineLevel="0" collapsed="false">
      <c r="A13" s="19" t="s">
        <v>44</v>
      </c>
      <c r="B13" s="20"/>
      <c r="C13" s="19"/>
      <c r="D13" s="20"/>
      <c r="E13" s="20"/>
      <c r="F13" s="20"/>
      <c r="G13" s="21"/>
      <c r="H13" s="22"/>
      <c r="I13" s="19" t="s">
        <v>36</v>
      </c>
      <c r="J13" s="20"/>
      <c r="K13" s="20"/>
      <c r="L13" s="20"/>
    </row>
    <row r="14" customFormat="false" ht="39.75" hidden="false" customHeight="true" outlineLevel="0" collapsed="false">
      <c r="A14" s="19" t="s">
        <v>45</v>
      </c>
      <c r="B14" s="20"/>
      <c r="C14" s="19"/>
      <c r="D14" s="20"/>
      <c r="E14" s="20"/>
      <c r="F14" s="20"/>
      <c r="G14" s="21"/>
      <c r="H14" s="22"/>
      <c r="I14" s="19" t="s">
        <v>36</v>
      </c>
      <c r="J14" s="20"/>
      <c r="K14" s="20"/>
      <c r="L14" s="20"/>
    </row>
    <row r="15" customFormat="false" ht="39.75" hidden="false" customHeight="true" outlineLevel="0" collapsed="false">
      <c r="A15" s="19" t="s">
        <v>46</v>
      </c>
      <c r="B15" s="20"/>
      <c r="C15" s="19"/>
      <c r="D15" s="20"/>
      <c r="E15" s="20"/>
      <c r="F15" s="20"/>
      <c r="G15" s="21"/>
      <c r="H15" s="22"/>
      <c r="I15" s="19" t="s">
        <v>36</v>
      </c>
      <c r="J15" s="20"/>
      <c r="K15" s="20"/>
      <c r="L15" s="20"/>
    </row>
    <row r="16" customFormat="false" ht="15" hidden="false" customHeight="false" outlineLevel="0" collapsed="false">
      <c r="A16" s="23" t="s">
        <v>47</v>
      </c>
      <c r="B16" s="23"/>
      <c r="C16" s="23"/>
      <c r="D16" s="23"/>
      <c r="E16" s="23"/>
      <c r="F16" s="23"/>
      <c r="G16" s="24" t="n">
        <f aca="false">SUM(G6:G15)</f>
        <v>0.1</v>
      </c>
      <c r="H16" s="25" t="n">
        <f aca="false">SUM(H6:H15)</f>
        <v>900000</v>
      </c>
      <c r="I16" s="23"/>
      <c r="J16" s="23"/>
      <c r="K16" s="23"/>
      <c r="L16" s="23"/>
    </row>
    <row r="17" customFormat="false" ht="15" hidden="false" customHeight="false" outlineLevel="0" collapsed="false">
      <c r="A17" s="26" t="s">
        <v>48</v>
      </c>
      <c r="B17" s="26"/>
      <c r="C17" s="26"/>
      <c r="D17" s="26"/>
      <c r="E17" s="26"/>
      <c r="F17" s="26"/>
      <c r="G17" s="26"/>
      <c r="H17" s="27" t="n">
        <f aca="false">H16*0.07</f>
        <v>63000</v>
      </c>
      <c r="I17" s="26"/>
      <c r="J17" s="26"/>
      <c r="K17" s="26"/>
      <c r="L17" s="26"/>
    </row>
    <row r="18" customFormat="false" ht="15" hidden="false" customHeight="false" outlineLevel="0" collapsed="false">
      <c r="A18" s="28" t="s">
        <v>49</v>
      </c>
      <c r="B18" s="28"/>
      <c r="C18" s="28"/>
      <c r="D18" s="28"/>
      <c r="E18" s="28"/>
      <c r="F18" s="28"/>
      <c r="G18" s="28"/>
      <c r="H18" s="29" t="n">
        <f aca="false">H16+H17</f>
        <v>963000</v>
      </c>
      <c r="I18" s="28"/>
      <c r="J18" s="28"/>
      <c r="K18" s="28"/>
      <c r="L18" s="28"/>
    </row>
    <row r="20" customFormat="false" ht="15" hidden="false" customHeight="false" outlineLevel="0" collapsed="false">
      <c r="A20" s="30" t="s">
        <v>50</v>
      </c>
    </row>
    <row r="21" customFormat="false" ht="15" hidden="false" customHeight="false" outlineLevel="0" collapsed="false">
      <c r="A21" s="5" t="s">
        <v>51</v>
      </c>
    </row>
    <row r="22" customFormat="false" ht="15" hidden="false" customHeight="false" outlineLevel="0" collapsed="false">
      <c r="A22" s="31" t="s">
        <v>52</v>
      </c>
    </row>
    <row r="23" customFormat="false" ht="15" hidden="false" customHeight="true" outlineLevel="0" collapsed="false">
      <c r="A23" s="32" t="s">
        <v>53</v>
      </c>
      <c r="B23" s="32"/>
      <c r="C23" s="32"/>
      <c r="D23" s="32"/>
      <c r="E23" s="32"/>
      <c r="F23" s="32"/>
    </row>
  </sheetData>
  <mergeCells count="4">
    <mergeCell ref="A1:L1"/>
    <mergeCell ref="A2:L2"/>
    <mergeCell ref="A3:L3"/>
    <mergeCell ref="A23:F23"/>
  </mergeCells>
  <dataValidations count="1">
    <dataValidation allowBlank="true" errorStyle="stop" operator="between" showDropDown="false" showErrorMessage="false" showInputMessage="false" sqref="I7:I15" type="list">
      <formula1>"รอดำเนินการ,กำลังดำเนินการ,เสร็จสิ้น,ตรวจรับแล้ว"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3"/>
    <col collapsed="false" customWidth="true" hidden="false" outlineLevel="0" max="15" min="4" style="0" width="4.5"/>
  </cols>
  <sheetData>
    <row r="1" customFormat="false" ht="15" hidden="false" customHeight="false" outlineLevel="0" collapsed="false">
      <c r="A1" s="33" t="s">
        <v>54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customFormat="false" ht="12.65" hidden="false" customHeight="false" outlineLevel="0" collapsed="false">
      <c r="A2" s="34" t="s">
        <v>55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4" customFormat="false" ht="25.5" hidden="false" customHeight="true" outlineLevel="0" collapsed="false">
      <c r="A4" s="15" t="s">
        <v>56</v>
      </c>
      <c r="B4" s="15" t="s">
        <v>57</v>
      </c>
      <c r="C4" s="15" t="s">
        <v>58</v>
      </c>
      <c r="D4" s="15" t="s">
        <v>59</v>
      </c>
      <c r="E4" s="15" t="s">
        <v>60</v>
      </c>
      <c r="F4" s="15" t="s">
        <v>61</v>
      </c>
      <c r="G4" s="15" t="s">
        <v>62</v>
      </c>
      <c r="H4" s="15" t="s">
        <v>63</v>
      </c>
      <c r="I4" s="15" t="s">
        <v>64</v>
      </c>
      <c r="J4" s="15" t="s">
        <v>65</v>
      </c>
      <c r="K4" s="15" t="s">
        <v>66</v>
      </c>
      <c r="L4" s="15" t="s">
        <v>67</v>
      </c>
      <c r="M4" s="15" t="s">
        <v>68</v>
      </c>
      <c r="N4" s="15" t="s">
        <v>69</v>
      </c>
      <c r="O4" s="15" t="s">
        <v>70</v>
      </c>
    </row>
    <row r="5" customFormat="false" ht="15.75" hidden="false" customHeight="true" outlineLevel="0" collapsed="false">
      <c r="A5" s="35" t="s">
        <v>71</v>
      </c>
      <c r="B5" s="35" t="s">
        <v>72</v>
      </c>
      <c r="C5" s="35" t="s">
        <v>73</v>
      </c>
      <c r="D5" s="36" t="s">
        <v>74</v>
      </c>
      <c r="E5" s="36" t="s">
        <v>74</v>
      </c>
      <c r="F5" s="37"/>
      <c r="G5" s="37"/>
      <c r="H5" s="37"/>
      <c r="I5" s="37"/>
      <c r="J5" s="37"/>
      <c r="K5" s="37"/>
      <c r="L5" s="37"/>
      <c r="M5" s="37"/>
      <c r="N5" s="37"/>
      <c r="O5" s="37"/>
    </row>
    <row r="6" customFormat="false" ht="15.75" hidden="false" customHeight="true" outlineLevel="0" collapsed="false">
      <c r="A6" s="35" t="s">
        <v>75</v>
      </c>
      <c r="B6" s="35" t="s">
        <v>73</v>
      </c>
      <c r="C6" s="35" t="s">
        <v>73</v>
      </c>
      <c r="D6" s="37"/>
      <c r="E6" s="38" t="s">
        <v>76</v>
      </c>
      <c r="F6" s="37"/>
      <c r="G6" s="37"/>
      <c r="H6" s="37"/>
      <c r="I6" s="37"/>
      <c r="J6" s="37"/>
      <c r="K6" s="37"/>
      <c r="L6" s="37"/>
      <c r="M6" s="37"/>
      <c r="N6" s="37"/>
      <c r="O6" s="37"/>
    </row>
    <row r="7" customFormat="false" ht="15.75" hidden="false" customHeight="true" outlineLevel="0" collapsed="false">
      <c r="A7" s="39"/>
      <c r="B7" s="39"/>
      <c r="C7" s="39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</row>
    <row r="8" customFormat="false" ht="15.75" hidden="false" customHeight="true" outlineLevel="0" collapsed="false">
      <c r="A8" s="39"/>
      <c r="B8" s="39"/>
      <c r="C8" s="39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</row>
    <row r="9" customFormat="false" ht="15.75" hidden="false" customHeight="true" outlineLevel="0" collapsed="false">
      <c r="A9" s="39"/>
      <c r="B9" s="39"/>
      <c r="C9" s="39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</row>
    <row r="10" customFormat="false" ht="15.75" hidden="false" customHeight="true" outlineLevel="0" collapsed="false">
      <c r="A10" s="39"/>
      <c r="B10" s="39"/>
      <c r="C10" s="39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</row>
    <row r="11" customFormat="false" ht="15.75" hidden="false" customHeight="true" outlineLevel="0" collapsed="false">
      <c r="A11" s="39"/>
      <c r="B11" s="39"/>
      <c r="C11" s="39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</row>
    <row r="12" customFormat="false" ht="15.75" hidden="false" customHeight="true" outlineLevel="0" collapsed="false">
      <c r="A12" s="39"/>
      <c r="B12" s="39"/>
      <c r="C12" s="39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</row>
    <row r="13" customFormat="false" ht="15.75" hidden="false" customHeight="true" outlineLevel="0" collapsed="false">
      <c r="A13" s="39"/>
      <c r="B13" s="39"/>
      <c r="C13" s="39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</row>
    <row r="14" customFormat="false" ht="15.75" hidden="false" customHeight="true" outlineLevel="0" collapsed="false">
      <c r="A14" s="39"/>
      <c r="B14" s="39"/>
      <c r="C14" s="39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</row>
    <row r="15" customFormat="false" ht="15.75" hidden="false" customHeight="true" outlineLevel="0" collapsed="false">
      <c r="A15" s="39"/>
      <c r="B15" s="39"/>
      <c r="C15" s="39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</row>
    <row r="16" customFormat="false" ht="15.75" hidden="false" customHeight="true" outlineLevel="0" collapsed="false">
      <c r="A16" s="39"/>
      <c r="B16" s="39"/>
      <c r="C16" s="39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</row>
    <row r="17" customFormat="false" ht="15.75" hidden="false" customHeight="true" outlineLevel="0" collapsed="false">
      <c r="A17" s="39"/>
      <c r="B17" s="39"/>
      <c r="C17" s="39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</row>
    <row r="18" customFormat="false" ht="15.75" hidden="false" customHeight="true" outlineLevel="0" collapsed="false">
      <c r="A18" s="39"/>
      <c r="B18" s="39"/>
      <c r="C18" s="39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</row>
    <row r="19" customFormat="false" ht="15.75" hidden="false" customHeight="true" outlineLevel="0" collapsed="false">
      <c r="A19" s="39"/>
      <c r="B19" s="39"/>
      <c r="C19" s="39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</row>
    <row r="20" customFormat="false" ht="15.75" hidden="false" customHeight="true" outlineLevel="0" collapsed="false">
      <c r="A20" s="39"/>
      <c r="B20" s="39"/>
      <c r="C20" s="39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</row>
    <row r="21" customFormat="false" ht="15.75" hidden="false" customHeight="true" outlineLevel="0" collapsed="false">
      <c r="A21" s="39"/>
      <c r="B21" s="39"/>
      <c r="C21" s="39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</row>
  </sheetData>
  <mergeCells count="2">
    <mergeCell ref="A1:O1"/>
    <mergeCell ref="A2:O2"/>
  </mergeCells>
  <dataValidations count="1">
    <dataValidation allowBlank="true" errorStyle="stop" operator="between" showDropDown="false" showErrorMessage="false" showInputMessage="false" sqref="D7:O21" type="list">
      <formula1>"■,◆"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4" topLeftCell="I5" activePane="bottomRight" state="frozen"/>
      <selection pane="topLeft" activeCell="A1" activeCellId="0" sqref="A1"/>
      <selection pane="topRight" activeCell="I1" activeCellId="0" sqref="I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.5"/>
    <col collapsed="false" customWidth="true" hidden="false" outlineLevel="0" max="3" min="3" style="0" width="4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56" min="9" style="0" width="3.61"/>
  </cols>
  <sheetData>
    <row r="2" customFormat="false" ht="15" hidden="false" customHeight="false" outlineLevel="0" collapsed="false">
      <c r="B2" s="12" t="s">
        <v>77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</row>
    <row r="3" customFormat="false" ht="19.5" hidden="false" customHeight="true" outlineLevel="0" collapsed="false">
      <c r="B3" s="15" t="s">
        <v>78</v>
      </c>
      <c r="C3" s="15"/>
      <c r="D3" s="15"/>
      <c r="E3" s="15"/>
      <c r="F3" s="15"/>
      <c r="G3" s="15"/>
      <c r="H3" s="15"/>
      <c r="I3" s="40" t="s">
        <v>59</v>
      </c>
      <c r="J3" s="40"/>
      <c r="K3" s="40"/>
      <c r="L3" s="40"/>
      <c r="M3" s="40" t="s">
        <v>60</v>
      </c>
      <c r="N3" s="40"/>
      <c r="O3" s="40"/>
      <c r="P3" s="40"/>
      <c r="Q3" s="40" t="s">
        <v>61</v>
      </c>
      <c r="R3" s="40"/>
      <c r="S3" s="40"/>
      <c r="T3" s="40"/>
      <c r="U3" s="40" t="s">
        <v>62</v>
      </c>
      <c r="V3" s="40"/>
      <c r="W3" s="40"/>
      <c r="X3" s="40"/>
      <c r="Y3" s="40" t="s">
        <v>63</v>
      </c>
      <c r="Z3" s="40"/>
      <c r="AA3" s="40"/>
      <c r="AB3" s="40"/>
      <c r="AC3" s="40" t="s">
        <v>64</v>
      </c>
      <c r="AD3" s="40"/>
      <c r="AE3" s="40"/>
      <c r="AF3" s="40"/>
      <c r="AG3" s="40" t="s">
        <v>65</v>
      </c>
      <c r="AH3" s="40"/>
      <c r="AI3" s="40"/>
      <c r="AJ3" s="40"/>
      <c r="AK3" s="40" t="s">
        <v>66</v>
      </c>
      <c r="AL3" s="40"/>
      <c r="AM3" s="40"/>
      <c r="AN3" s="40"/>
      <c r="AO3" s="40" t="s">
        <v>67</v>
      </c>
      <c r="AP3" s="40"/>
      <c r="AQ3" s="40"/>
      <c r="AR3" s="40"/>
      <c r="AS3" s="40" t="s">
        <v>68</v>
      </c>
      <c r="AT3" s="40"/>
      <c r="AU3" s="40"/>
      <c r="AV3" s="40"/>
      <c r="AW3" s="40" t="s">
        <v>69</v>
      </c>
      <c r="AX3" s="40"/>
      <c r="AY3" s="40"/>
      <c r="AZ3" s="40"/>
      <c r="BA3" s="40" t="s">
        <v>70</v>
      </c>
      <c r="BB3" s="40"/>
      <c r="BC3" s="40"/>
      <c r="BD3" s="40"/>
    </row>
    <row r="4" customFormat="false" ht="15.75" hidden="false" customHeight="true" outlineLevel="0" collapsed="false">
      <c r="B4" s="15"/>
      <c r="C4" s="15"/>
      <c r="D4" s="15"/>
      <c r="E4" s="15"/>
      <c r="F4" s="15"/>
      <c r="G4" s="15"/>
      <c r="H4" s="15"/>
      <c r="I4" s="41" t="s">
        <v>79</v>
      </c>
      <c r="J4" s="41" t="s">
        <v>80</v>
      </c>
      <c r="K4" s="41" t="s">
        <v>81</v>
      </c>
      <c r="L4" s="41" t="s">
        <v>82</v>
      </c>
      <c r="M4" s="41" t="s">
        <v>79</v>
      </c>
      <c r="N4" s="41" t="s">
        <v>80</v>
      </c>
      <c r="O4" s="41" t="s">
        <v>81</v>
      </c>
      <c r="P4" s="41" t="s">
        <v>82</v>
      </c>
      <c r="Q4" s="41" t="s">
        <v>79</v>
      </c>
      <c r="R4" s="41" t="s">
        <v>80</v>
      </c>
      <c r="S4" s="41" t="s">
        <v>81</v>
      </c>
      <c r="T4" s="41" t="s">
        <v>82</v>
      </c>
      <c r="U4" s="41" t="s">
        <v>79</v>
      </c>
      <c r="V4" s="41" t="s">
        <v>80</v>
      </c>
      <c r="W4" s="41" t="s">
        <v>81</v>
      </c>
      <c r="X4" s="41" t="s">
        <v>82</v>
      </c>
      <c r="Y4" s="41" t="s">
        <v>79</v>
      </c>
      <c r="Z4" s="41" t="s">
        <v>80</v>
      </c>
      <c r="AA4" s="41" t="s">
        <v>81</v>
      </c>
      <c r="AB4" s="41" t="s">
        <v>82</v>
      </c>
      <c r="AC4" s="41" t="s">
        <v>79</v>
      </c>
      <c r="AD4" s="41" t="s">
        <v>80</v>
      </c>
      <c r="AE4" s="41" t="s">
        <v>81</v>
      </c>
      <c r="AF4" s="41" t="s">
        <v>82</v>
      </c>
      <c r="AG4" s="41" t="s">
        <v>79</v>
      </c>
      <c r="AH4" s="41" t="s">
        <v>80</v>
      </c>
      <c r="AI4" s="41" t="s">
        <v>81</v>
      </c>
      <c r="AJ4" s="41" t="s">
        <v>82</v>
      </c>
      <c r="AK4" s="41" t="s">
        <v>79</v>
      </c>
      <c r="AL4" s="41" t="s">
        <v>80</v>
      </c>
      <c r="AM4" s="41" t="s">
        <v>81</v>
      </c>
      <c r="AN4" s="41" t="s">
        <v>82</v>
      </c>
      <c r="AO4" s="41" t="s">
        <v>79</v>
      </c>
      <c r="AP4" s="41" t="s">
        <v>80</v>
      </c>
      <c r="AQ4" s="41" t="s">
        <v>81</v>
      </c>
      <c r="AR4" s="41" t="s">
        <v>82</v>
      </c>
      <c r="AS4" s="41" t="s">
        <v>79</v>
      </c>
      <c r="AT4" s="41" t="s">
        <v>80</v>
      </c>
      <c r="AU4" s="41" t="s">
        <v>81</v>
      </c>
      <c r="AV4" s="41" t="s">
        <v>82</v>
      </c>
      <c r="AW4" s="41" t="s">
        <v>79</v>
      </c>
      <c r="AX4" s="41" t="s">
        <v>80</v>
      </c>
      <c r="AY4" s="41" t="s">
        <v>81</v>
      </c>
      <c r="AZ4" s="41" t="s">
        <v>82</v>
      </c>
      <c r="BA4" s="41" t="s">
        <v>79</v>
      </c>
      <c r="BB4" s="41" t="s">
        <v>80</v>
      </c>
      <c r="BC4" s="41" t="s">
        <v>81</v>
      </c>
      <c r="BD4" s="41" t="s">
        <v>82</v>
      </c>
    </row>
    <row r="5" customFormat="false" ht="18" hidden="false" customHeight="true" outlineLevel="0" collapsed="false">
      <c r="B5" s="42" t="s">
        <v>83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</row>
    <row r="6" customFormat="false" ht="15" hidden="false" customHeight="true" outlineLevel="0" collapsed="false">
      <c r="B6" s="16" t="n">
        <v>1</v>
      </c>
      <c r="C6" s="16" t="s">
        <v>84</v>
      </c>
      <c r="D6" s="16" t="s">
        <v>85</v>
      </c>
      <c r="E6" s="16" t="n">
        <v>1</v>
      </c>
      <c r="F6" s="16"/>
      <c r="G6" s="16"/>
      <c r="H6" s="43" t="s">
        <v>86</v>
      </c>
      <c r="I6" s="44" t="s">
        <v>74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</row>
    <row r="7" customFormat="false" ht="15" hidden="false" customHeight="true" outlineLevel="0" collapsed="false">
      <c r="B7" s="16" t="n">
        <v>2</v>
      </c>
      <c r="C7" s="16" t="s">
        <v>87</v>
      </c>
      <c r="D7" s="16" t="s">
        <v>85</v>
      </c>
      <c r="E7" s="16" t="n">
        <v>5</v>
      </c>
      <c r="F7" s="16"/>
      <c r="G7" s="16"/>
      <c r="H7" s="45" t="s">
        <v>88</v>
      </c>
      <c r="I7" s="46" t="s">
        <v>74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</row>
    <row r="8" customFormat="false" ht="15" hidden="false" customHeight="true" outlineLevel="0" collapsed="false">
      <c r="B8" s="16" t="n">
        <v>3</v>
      </c>
      <c r="C8" s="16" t="s">
        <v>71</v>
      </c>
      <c r="D8" s="16" t="s">
        <v>85</v>
      </c>
      <c r="E8" s="16" t="n">
        <v>20</v>
      </c>
      <c r="F8" s="16"/>
      <c r="G8" s="16"/>
      <c r="H8" s="47" t="s">
        <v>89</v>
      </c>
      <c r="I8" s="37"/>
      <c r="J8" s="37"/>
      <c r="K8" s="37"/>
      <c r="L8" s="37"/>
      <c r="M8" s="48" t="s">
        <v>74</v>
      </c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</row>
    <row r="9" customFormat="false" ht="18" hidden="false" customHeight="true" outlineLevel="0" collapsed="false">
      <c r="B9" s="42" t="s">
        <v>90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</row>
    <row r="10" customFormat="false" ht="15" hidden="false" customHeight="true" outlineLevel="0" collapsed="false">
      <c r="B10" s="37" t="n">
        <v>4</v>
      </c>
      <c r="C10" s="39"/>
      <c r="D10" s="39"/>
      <c r="E10" s="39"/>
      <c r="F10" s="39"/>
      <c r="G10" s="39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</row>
    <row r="11" customFormat="false" ht="15" hidden="false" customHeight="true" outlineLevel="0" collapsed="false">
      <c r="B11" s="37" t="n">
        <v>5</v>
      </c>
      <c r="C11" s="39"/>
      <c r="D11" s="39"/>
      <c r="E11" s="39"/>
      <c r="F11" s="39"/>
      <c r="G11" s="39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</row>
    <row r="12" customFormat="false" ht="15" hidden="false" customHeight="true" outlineLevel="0" collapsed="false">
      <c r="B12" s="37" t="n">
        <v>6</v>
      </c>
      <c r="C12" s="39"/>
      <c r="D12" s="39"/>
      <c r="E12" s="39"/>
      <c r="F12" s="39"/>
      <c r="G12" s="39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</row>
    <row r="13" customFormat="false" ht="15" hidden="false" customHeight="true" outlineLevel="0" collapsed="false">
      <c r="B13" s="37" t="n">
        <v>7</v>
      </c>
      <c r="C13" s="39"/>
      <c r="D13" s="39"/>
      <c r="E13" s="39"/>
      <c r="F13" s="39"/>
      <c r="G13" s="39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4" customFormat="false" ht="15" hidden="false" customHeight="true" outlineLevel="0" collapsed="false">
      <c r="B14" s="37" t="n">
        <v>8</v>
      </c>
      <c r="C14" s="39"/>
      <c r="D14" s="39"/>
      <c r="E14" s="39"/>
      <c r="F14" s="39"/>
      <c r="G14" s="39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</row>
    <row r="15" customFormat="false" ht="15" hidden="false" customHeight="true" outlineLevel="0" collapsed="false">
      <c r="B15" s="37" t="n">
        <v>9</v>
      </c>
      <c r="C15" s="39"/>
      <c r="D15" s="39"/>
      <c r="E15" s="39"/>
      <c r="F15" s="39"/>
      <c r="G15" s="39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</row>
    <row r="16" customFormat="false" ht="15" hidden="false" customHeight="true" outlineLevel="0" collapsed="false">
      <c r="B16" s="37" t="n">
        <v>10</v>
      </c>
      <c r="C16" s="39"/>
      <c r="D16" s="39"/>
      <c r="E16" s="39"/>
      <c r="F16" s="39"/>
      <c r="G16" s="39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</row>
    <row r="17" customFormat="false" ht="15" hidden="false" customHeight="true" outlineLevel="0" collapsed="false">
      <c r="B17" s="37" t="n">
        <v>11</v>
      </c>
      <c r="C17" s="39"/>
      <c r="D17" s="39"/>
      <c r="E17" s="39"/>
      <c r="F17" s="39"/>
      <c r="G17" s="39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</row>
    <row r="18" customFormat="false" ht="15" hidden="false" customHeight="true" outlineLevel="0" collapsed="false">
      <c r="B18" s="37" t="n">
        <v>12</v>
      </c>
      <c r="C18" s="39"/>
      <c r="D18" s="39"/>
      <c r="E18" s="39"/>
      <c r="F18" s="39"/>
      <c r="G18" s="39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</row>
    <row r="19" customFormat="false" ht="15" hidden="false" customHeight="true" outlineLevel="0" collapsed="false">
      <c r="B19" s="37" t="n">
        <v>13</v>
      </c>
      <c r="C19" s="39"/>
      <c r="D19" s="39"/>
      <c r="E19" s="39"/>
      <c r="F19" s="39"/>
      <c r="G19" s="39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</row>
    <row r="20" customFormat="false" ht="15" hidden="false" customHeight="true" outlineLevel="0" collapsed="false">
      <c r="B20" s="37" t="n">
        <v>14</v>
      </c>
      <c r="C20" s="39"/>
      <c r="D20" s="39"/>
      <c r="E20" s="39"/>
      <c r="F20" s="39"/>
      <c r="G20" s="39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</row>
    <row r="21" customFormat="false" ht="15" hidden="false" customHeight="true" outlineLevel="0" collapsed="false">
      <c r="B21" s="37" t="n">
        <v>15</v>
      </c>
      <c r="C21" s="39"/>
      <c r="D21" s="39"/>
      <c r="E21" s="39"/>
      <c r="F21" s="39"/>
      <c r="G21" s="39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</row>
    <row r="22" customFormat="false" ht="15" hidden="false" customHeight="true" outlineLevel="0" collapsed="false">
      <c r="B22" s="37" t="n">
        <v>16</v>
      </c>
      <c r="C22" s="39"/>
      <c r="D22" s="39"/>
      <c r="E22" s="39"/>
      <c r="F22" s="39"/>
      <c r="G22" s="39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</row>
    <row r="23" customFormat="false" ht="15" hidden="false" customHeight="true" outlineLevel="0" collapsed="false">
      <c r="B23" s="37" t="n">
        <v>17</v>
      </c>
      <c r="C23" s="39"/>
      <c r="D23" s="39"/>
      <c r="E23" s="39"/>
      <c r="F23" s="39"/>
      <c r="G23" s="39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</row>
    <row r="24" customFormat="false" ht="15" hidden="false" customHeight="true" outlineLevel="0" collapsed="false">
      <c r="B24" s="37" t="n">
        <v>18</v>
      </c>
      <c r="C24" s="39"/>
      <c r="D24" s="39"/>
      <c r="E24" s="39"/>
      <c r="F24" s="39"/>
      <c r="G24" s="39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</row>
  </sheetData>
  <mergeCells count="16">
    <mergeCell ref="B2:BD2"/>
    <mergeCell ref="B3:H4"/>
    <mergeCell ref="I3:L3"/>
    <mergeCell ref="M3:P3"/>
    <mergeCell ref="Q3:T3"/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  <mergeCell ref="B5:BD5"/>
    <mergeCell ref="B9:BD9"/>
  </mergeCells>
  <dataValidations count="1">
    <dataValidation allowBlank="true" errorStyle="stop" operator="between" showDropDown="false" showErrorMessage="false" showInputMessage="false" sqref="H10:H24" type="list">
      <formula1>"Completed,In Progress,Pending"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26"/>
  </cols>
  <sheetData>
    <row r="1" customFormat="false" ht="16.15" hidden="false" customHeight="false" outlineLevel="0" collapsed="false">
      <c r="A1" s="49" t="s">
        <v>91</v>
      </c>
      <c r="B1" s="49"/>
      <c r="C1" s="49"/>
      <c r="D1" s="49"/>
      <c r="E1" s="49"/>
      <c r="F1" s="49"/>
      <c r="G1" s="49"/>
      <c r="H1" s="49"/>
    </row>
    <row r="2" customFormat="false" ht="12.65" hidden="false" customHeight="false" outlineLevel="0" collapsed="false">
      <c r="A2" s="50" t="s">
        <v>92</v>
      </c>
      <c r="B2" s="50"/>
      <c r="C2" s="50"/>
      <c r="D2" s="50"/>
      <c r="E2" s="50"/>
      <c r="F2" s="50"/>
      <c r="G2" s="50"/>
      <c r="H2" s="50"/>
    </row>
    <row r="4" customFormat="false" ht="25.5" hidden="false" customHeight="true" outlineLevel="0" collapsed="false">
      <c r="A4" s="15" t="s">
        <v>19</v>
      </c>
      <c r="B4" s="15" t="s">
        <v>93</v>
      </c>
      <c r="C4" s="15" t="s">
        <v>94</v>
      </c>
      <c r="D4" s="15" t="s">
        <v>95</v>
      </c>
      <c r="E4" s="15" t="s">
        <v>96</v>
      </c>
      <c r="F4" s="15" t="s">
        <v>27</v>
      </c>
      <c r="G4" s="15" t="s">
        <v>97</v>
      </c>
      <c r="H4" s="15" t="s">
        <v>30</v>
      </c>
    </row>
    <row r="5" customFormat="false" ht="30" hidden="false" customHeight="true" outlineLevel="0" collapsed="false">
      <c r="A5" s="16" t="s">
        <v>98</v>
      </c>
      <c r="B5" s="16" t="s">
        <v>99</v>
      </c>
      <c r="C5" s="16" t="s">
        <v>100</v>
      </c>
      <c r="D5" s="16" t="s">
        <v>101</v>
      </c>
      <c r="E5" s="16" t="s">
        <v>102</v>
      </c>
      <c r="F5" s="16" t="s">
        <v>36</v>
      </c>
      <c r="G5" s="16" t="s">
        <v>103</v>
      </c>
      <c r="H5" s="16" t="s">
        <v>104</v>
      </c>
    </row>
    <row r="6" customFormat="false" ht="30" hidden="false" customHeight="true" outlineLevel="0" collapsed="false">
      <c r="A6" s="16"/>
      <c r="B6" s="16" t="s">
        <v>105</v>
      </c>
      <c r="C6" s="16" t="s">
        <v>106</v>
      </c>
      <c r="D6" s="16" t="s">
        <v>101</v>
      </c>
      <c r="E6" s="16" t="s">
        <v>102</v>
      </c>
      <c r="F6" s="16" t="s">
        <v>36</v>
      </c>
      <c r="G6" s="16" t="s">
        <v>103</v>
      </c>
      <c r="H6" s="16"/>
    </row>
    <row r="7" customFormat="false" ht="30" hidden="false" customHeight="true" outlineLevel="0" collapsed="false">
      <c r="A7" s="16"/>
      <c r="B7" s="16" t="s">
        <v>107</v>
      </c>
      <c r="C7" s="16" t="s">
        <v>108</v>
      </c>
      <c r="D7" s="16" t="s">
        <v>101</v>
      </c>
      <c r="E7" s="16" t="s">
        <v>102</v>
      </c>
      <c r="F7" s="16" t="s">
        <v>36</v>
      </c>
      <c r="G7" s="16" t="s">
        <v>103</v>
      </c>
      <c r="H7" s="16"/>
    </row>
    <row r="8" customFormat="false" ht="25.5" hidden="false" customHeight="true" outlineLevel="0" collapsed="false">
      <c r="A8" s="20" t="s">
        <v>38</v>
      </c>
      <c r="B8" s="20"/>
      <c r="C8" s="20"/>
      <c r="D8" s="20"/>
      <c r="E8" s="20"/>
      <c r="F8" s="19"/>
      <c r="G8" s="20"/>
      <c r="H8" s="20"/>
    </row>
    <row r="9" customFormat="false" ht="25.5" hidden="false" customHeight="true" outlineLevel="0" collapsed="false">
      <c r="A9" s="20"/>
      <c r="B9" s="20"/>
      <c r="C9" s="20"/>
      <c r="D9" s="20"/>
      <c r="E9" s="20"/>
      <c r="F9" s="19"/>
      <c r="G9" s="20"/>
      <c r="H9" s="20"/>
    </row>
    <row r="10" customFormat="false" ht="25.5" hidden="false" customHeight="true" outlineLevel="0" collapsed="false">
      <c r="A10" s="20"/>
      <c r="B10" s="20"/>
      <c r="C10" s="20"/>
      <c r="D10" s="20"/>
      <c r="E10" s="20"/>
      <c r="F10" s="19"/>
      <c r="G10" s="20"/>
      <c r="H10" s="20"/>
    </row>
    <row r="11" customFormat="false" ht="25.5" hidden="false" customHeight="true" outlineLevel="0" collapsed="false">
      <c r="A11" s="20" t="s">
        <v>39</v>
      </c>
      <c r="B11" s="20"/>
      <c r="C11" s="20"/>
      <c r="D11" s="20"/>
      <c r="E11" s="20"/>
      <c r="F11" s="19"/>
      <c r="G11" s="20"/>
      <c r="H11" s="20"/>
    </row>
    <row r="12" customFormat="false" ht="25.5" hidden="false" customHeight="true" outlineLevel="0" collapsed="false">
      <c r="A12" s="20"/>
      <c r="B12" s="20"/>
      <c r="C12" s="20"/>
      <c r="D12" s="20"/>
      <c r="E12" s="20"/>
      <c r="F12" s="19"/>
      <c r="G12" s="20"/>
      <c r="H12" s="20"/>
    </row>
    <row r="13" customFormat="false" ht="25.5" hidden="false" customHeight="true" outlineLevel="0" collapsed="false">
      <c r="A13" s="20"/>
      <c r="B13" s="20"/>
      <c r="C13" s="20"/>
      <c r="D13" s="20"/>
      <c r="E13" s="20"/>
      <c r="F13" s="19"/>
      <c r="G13" s="20"/>
      <c r="H13" s="20"/>
    </row>
    <row r="14" customFormat="false" ht="25.5" hidden="false" customHeight="true" outlineLevel="0" collapsed="false">
      <c r="A14" s="20" t="s">
        <v>40</v>
      </c>
      <c r="B14" s="20"/>
      <c r="C14" s="20"/>
      <c r="D14" s="20"/>
      <c r="E14" s="20"/>
      <c r="F14" s="19"/>
      <c r="G14" s="20"/>
      <c r="H14" s="20"/>
    </row>
    <row r="15" customFormat="false" ht="25.5" hidden="false" customHeight="true" outlineLevel="0" collapsed="false">
      <c r="A15" s="20"/>
      <c r="B15" s="20"/>
      <c r="C15" s="20"/>
      <c r="D15" s="20"/>
      <c r="E15" s="20"/>
      <c r="F15" s="19"/>
      <c r="G15" s="20"/>
      <c r="H15" s="20"/>
    </row>
    <row r="16" customFormat="false" ht="25.5" hidden="false" customHeight="true" outlineLevel="0" collapsed="false">
      <c r="A16" s="20"/>
      <c r="B16" s="20"/>
      <c r="C16" s="20"/>
      <c r="D16" s="20"/>
      <c r="E16" s="20"/>
      <c r="F16" s="19"/>
      <c r="G16" s="20"/>
      <c r="H16" s="20"/>
    </row>
  </sheetData>
  <mergeCells count="6">
    <mergeCell ref="A1:H1"/>
    <mergeCell ref="A2:H2"/>
    <mergeCell ref="A5:A7"/>
    <mergeCell ref="A8:A10"/>
    <mergeCell ref="A11:A13"/>
    <mergeCell ref="A14:A16"/>
  </mergeCells>
  <dataValidations count="1">
    <dataValidation allowBlank="true" errorStyle="stop" operator="between" showDropDown="false" showErrorMessage="false" showInputMessage="false" sqref="F8:F16" type="list">
      <formula1>"รอดำเนินการ,กำลังดำเนินการ,ส่งมอบแล้ว,ตรวจรับแล้ว"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2" t="s">
        <v>109</v>
      </c>
      <c r="B1" s="12"/>
      <c r="C1" s="12"/>
      <c r="D1" s="12"/>
      <c r="E1" s="12"/>
    </row>
    <row r="3" customFormat="false" ht="25.5" hidden="false" customHeight="true" outlineLevel="0" collapsed="false">
      <c r="A3" s="15" t="s">
        <v>78</v>
      </c>
      <c r="B3" s="15" t="s">
        <v>110</v>
      </c>
      <c r="C3" s="15" t="s">
        <v>111</v>
      </c>
      <c r="D3" s="15" t="s">
        <v>112</v>
      </c>
      <c r="E3" s="15" t="s">
        <v>30</v>
      </c>
    </row>
    <row r="4" customFormat="false" ht="30" hidden="false" customHeight="true" outlineLevel="0" collapsed="false">
      <c r="A4" s="16" t="n">
        <v>1</v>
      </c>
      <c r="B4" s="16" t="s">
        <v>113</v>
      </c>
      <c r="C4" s="16" t="s">
        <v>114</v>
      </c>
      <c r="D4" s="16" t="s">
        <v>89</v>
      </c>
      <c r="E4" s="16" t="s">
        <v>37</v>
      </c>
    </row>
    <row r="5" customFormat="false" ht="19.5" hidden="false" customHeight="true" outlineLevel="0" collapsed="false">
      <c r="A5" s="51" t="n">
        <v>2</v>
      </c>
      <c r="B5" s="52"/>
      <c r="C5" s="52"/>
      <c r="D5" s="51"/>
      <c r="E5" s="52"/>
    </row>
    <row r="6" customFormat="false" ht="19.5" hidden="false" customHeight="true" outlineLevel="0" collapsed="false">
      <c r="A6" s="51" t="n">
        <v>3</v>
      </c>
      <c r="B6" s="52"/>
      <c r="C6" s="52"/>
      <c r="D6" s="51"/>
      <c r="E6" s="52"/>
    </row>
    <row r="7" customFormat="false" ht="19.5" hidden="false" customHeight="true" outlineLevel="0" collapsed="false">
      <c r="A7" s="51" t="n">
        <v>4</v>
      </c>
      <c r="B7" s="52"/>
      <c r="C7" s="52"/>
      <c r="D7" s="51"/>
      <c r="E7" s="52"/>
    </row>
    <row r="8" customFormat="false" ht="19.5" hidden="false" customHeight="true" outlineLevel="0" collapsed="false">
      <c r="A8" s="51" t="n">
        <v>5</v>
      </c>
      <c r="B8" s="52"/>
      <c r="C8" s="52"/>
      <c r="D8" s="51"/>
      <c r="E8" s="52"/>
    </row>
    <row r="9" customFormat="false" ht="19.5" hidden="false" customHeight="true" outlineLevel="0" collapsed="false">
      <c r="A9" s="51" t="n">
        <v>6</v>
      </c>
      <c r="B9" s="52"/>
      <c r="C9" s="52"/>
      <c r="D9" s="51"/>
      <c r="E9" s="52"/>
    </row>
    <row r="10" customFormat="false" ht="19.5" hidden="false" customHeight="true" outlineLevel="0" collapsed="false">
      <c r="A10" s="51" t="n">
        <v>7</v>
      </c>
      <c r="B10" s="52"/>
      <c r="C10" s="52"/>
      <c r="D10" s="51"/>
      <c r="E10" s="52"/>
    </row>
    <row r="11" customFormat="false" ht="19.5" hidden="false" customHeight="true" outlineLevel="0" collapsed="false">
      <c r="A11" s="51" t="n">
        <v>8</v>
      </c>
      <c r="B11" s="52"/>
      <c r="C11" s="52"/>
      <c r="D11" s="51"/>
      <c r="E11" s="52"/>
    </row>
    <row r="12" customFormat="false" ht="19.5" hidden="false" customHeight="true" outlineLevel="0" collapsed="false">
      <c r="A12" s="51" t="n">
        <v>9</v>
      </c>
      <c r="B12" s="52"/>
      <c r="C12" s="52"/>
      <c r="D12" s="51"/>
      <c r="E12" s="52"/>
    </row>
    <row r="13" customFormat="false" ht="19.5" hidden="false" customHeight="true" outlineLevel="0" collapsed="false">
      <c r="A13" s="51" t="n">
        <v>10</v>
      </c>
      <c r="B13" s="52"/>
      <c r="C13" s="52"/>
      <c r="D13" s="51"/>
      <c r="E13" s="52"/>
    </row>
    <row r="14" customFormat="false" ht="19.5" hidden="false" customHeight="true" outlineLevel="0" collapsed="false">
      <c r="A14" s="51" t="n">
        <v>11</v>
      </c>
      <c r="B14" s="52"/>
      <c r="C14" s="52"/>
      <c r="D14" s="51"/>
      <c r="E14" s="52"/>
    </row>
    <row r="15" customFormat="false" ht="19.5" hidden="false" customHeight="true" outlineLevel="0" collapsed="false">
      <c r="A15" s="51" t="n">
        <v>12</v>
      </c>
      <c r="B15" s="52"/>
      <c r="C15" s="52"/>
      <c r="D15" s="51"/>
      <c r="E15" s="52"/>
    </row>
    <row r="16" customFormat="false" ht="19.5" hidden="false" customHeight="true" outlineLevel="0" collapsed="false">
      <c r="A16" s="51" t="n">
        <v>13</v>
      </c>
      <c r="B16" s="52"/>
      <c r="C16" s="52"/>
      <c r="D16" s="51"/>
      <c r="E16" s="52"/>
    </row>
    <row r="17" customFormat="false" ht="19.5" hidden="false" customHeight="true" outlineLevel="0" collapsed="false">
      <c r="A17" s="51" t="n">
        <v>14</v>
      </c>
      <c r="B17" s="52"/>
      <c r="C17" s="52"/>
      <c r="D17" s="51"/>
      <c r="E17" s="52"/>
    </row>
    <row r="18" customFormat="false" ht="19.5" hidden="false" customHeight="true" outlineLevel="0" collapsed="false">
      <c r="A18" s="51" t="n">
        <v>15</v>
      </c>
      <c r="B18" s="52"/>
      <c r="C18" s="52"/>
      <c r="D18" s="51"/>
      <c r="E18" s="52"/>
    </row>
    <row r="19" customFormat="false" ht="19.5" hidden="false" customHeight="true" outlineLevel="0" collapsed="false">
      <c r="A19" s="51" t="n">
        <v>16</v>
      </c>
      <c r="B19" s="52"/>
      <c r="C19" s="52"/>
      <c r="D19" s="51"/>
      <c r="E19" s="52"/>
    </row>
    <row r="20" customFormat="false" ht="19.5" hidden="false" customHeight="true" outlineLevel="0" collapsed="false">
      <c r="A20" s="51" t="n">
        <v>17</v>
      </c>
      <c r="B20" s="52"/>
      <c r="C20" s="52"/>
      <c r="D20" s="51"/>
      <c r="E20" s="52"/>
    </row>
    <row r="21" customFormat="false" ht="19.5" hidden="false" customHeight="true" outlineLevel="0" collapsed="false">
      <c r="A21" s="51" t="n">
        <v>18</v>
      </c>
      <c r="B21" s="52"/>
      <c r="C21" s="52"/>
      <c r="D21" s="51"/>
      <c r="E21" s="52"/>
    </row>
    <row r="22" customFormat="false" ht="19.5" hidden="false" customHeight="true" outlineLevel="0" collapsed="false">
      <c r="A22" s="51" t="n">
        <v>19</v>
      </c>
      <c r="B22" s="52"/>
      <c r="C22" s="52"/>
      <c r="D22" s="51"/>
      <c r="E22" s="52"/>
    </row>
    <row r="23" customFormat="false" ht="19.5" hidden="false" customHeight="true" outlineLevel="0" collapsed="false">
      <c r="A23" s="51" t="n">
        <v>20</v>
      </c>
      <c r="B23" s="52"/>
      <c r="C23" s="52"/>
      <c r="D23" s="51"/>
      <c r="E23" s="52"/>
    </row>
    <row r="24" customFormat="false" ht="19.5" hidden="false" customHeight="true" outlineLevel="0" collapsed="false">
      <c r="A24" s="51" t="n">
        <v>21</v>
      </c>
      <c r="B24" s="52"/>
      <c r="C24" s="52"/>
      <c r="D24" s="51"/>
      <c r="E24" s="52"/>
    </row>
    <row r="25" customFormat="false" ht="19.5" hidden="false" customHeight="true" outlineLevel="0" collapsed="false">
      <c r="A25" s="51" t="n">
        <v>22</v>
      </c>
      <c r="B25" s="52"/>
      <c r="C25" s="52"/>
      <c r="D25" s="51"/>
      <c r="E25" s="52"/>
    </row>
    <row r="26" customFormat="false" ht="19.5" hidden="false" customHeight="true" outlineLevel="0" collapsed="false">
      <c r="A26" s="51" t="n">
        <v>23</v>
      </c>
      <c r="B26" s="52"/>
      <c r="C26" s="52"/>
      <c r="D26" s="51"/>
      <c r="E26" s="52"/>
    </row>
    <row r="27" customFormat="false" ht="19.5" hidden="false" customHeight="true" outlineLevel="0" collapsed="false">
      <c r="A27" s="51" t="n">
        <v>24</v>
      </c>
      <c r="B27" s="52"/>
      <c r="C27" s="52"/>
      <c r="D27" s="51"/>
      <c r="E27" s="52"/>
    </row>
    <row r="28" customFormat="false" ht="19.5" hidden="false" customHeight="true" outlineLevel="0" collapsed="false">
      <c r="A28" s="51" t="n">
        <v>25</v>
      </c>
      <c r="B28" s="52"/>
      <c r="C28" s="52"/>
      <c r="D28" s="51"/>
      <c r="E28" s="52"/>
    </row>
    <row r="29" customFormat="false" ht="19.5" hidden="false" customHeight="true" outlineLevel="0" collapsed="false">
      <c r="A29" s="51" t="n">
        <v>26</v>
      </c>
      <c r="B29" s="52"/>
      <c r="C29" s="52"/>
      <c r="D29" s="51"/>
      <c r="E29" s="52"/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D5:D29" type="list">
      <formula1>"Pending,On Process,Completed"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2" t="s">
        <v>115</v>
      </c>
      <c r="B1" s="12"/>
      <c r="C1" s="12"/>
      <c r="D1" s="12"/>
      <c r="E1" s="12"/>
      <c r="F1" s="12"/>
      <c r="G1" s="12"/>
      <c r="H1" s="12"/>
      <c r="I1" s="12"/>
    </row>
    <row r="3" customFormat="false" ht="25.5" hidden="false" customHeight="true" outlineLevel="0" collapsed="false">
      <c r="A3" s="15" t="s">
        <v>116</v>
      </c>
      <c r="B3" s="15" t="s">
        <v>117</v>
      </c>
      <c r="C3" s="15" t="s">
        <v>118</v>
      </c>
      <c r="D3" s="15" t="s">
        <v>119</v>
      </c>
      <c r="E3" s="15" t="s">
        <v>120</v>
      </c>
      <c r="F3" s="15" t="s">
        <v>121</v>
      </c>
      <c r="G3" s="15" t="s">
        <v>122</v>
      </c>
      <c r="H3" s="15" t="s">
        <v>123</v>
      </c>
      <c r="I3" s="15" t="s">
        <v>124</v>
      </c>
    </row>
    <row r="4" customFormat="false" ht="30" hidden="false" customHeight="true" outlineLevel="0" collapsed="false">
      <c r="A4" s="16" t="str">
        <f aca="false">"BR"&amp;TEXT(ROW()-3,"000")</f>
        <v>BR001</v>
      </c>
      <c r="B4" s="16" t="s">
        <v>125</v>
      </c>
      <c r="C4" s="16" t="s">
        <v>126</v>
      </c>
      <c r="D4" s="16"/>
      <c r="E4" s="16"/>
      <c r="F4" s="16" t="s">
        <v>35</v>
      </c>
      <c r="G4" s="16" t="s">
        <v>127</v>
      </c>
      <c r="H4" s="16" t="s">
        <v>37</v>
      </c>
      <c r="I4" s="16" t="s">
        <v>128</v>
      </c>
    </row>
    <row r="5" customFormat="false" ht="18" hidden="false" customHeight="true" outlineLevel="0" collapsed="false">
      <c r="A5" s="19" t="str">
        <f aca="false">"BR"&amp;TEXT(ROW()-3,"000")</f>
        <v>BR002</v>
      </c>
      <c r="B5" s="52"/>
      <c r="C5" s="51"/>
      <c r="D5" s="51"/>
      <c r="E5" s="52"/>
      <c r="F5" s="52"/>
      <c r="G5" s="52"/>
      <c r="H5" s="52"/>
      <c r="I5" s="51"/>
    </row>
    <row r="6" customFormat="false" ht="18" hidden="false" customHeight="true" outlineLevel="0" collapsed="false">
      <c r="A6" s="19" t="str">
        <f aca="false">"BR"&amp;TEXT(ROW()-3,"000")</f>
        <v>BR003</v>
      </c>
      <c r="B6" s="52"/>
      <c r="C6" s="51"/>
      <c r="D6" s="51"/>
      <c r="E6" s="52"/>
      <c r="F6" s="52"/>
      <c r="G6" s="52"/>
      <c r="H6" s="52"/>
      <c r="I6" s="51"/>
    </row>
    <row r="7" customFormat="false" ht="18" hidden="false" customHeight="true" outlineLevel="0" collapsed="false">
      <c r="A7" s="19" t="str">
        <f aca="false">"BR"&amp;TEXT(ROW()-3,"000")</f>
        <v>BR004</v>
      </c>
      <c r="B7" s="52"/>
      <c r="C7" s="51"/>
      <c r="D7" s="51"/>
      <c r="E7" s="52"/>
      <c r="F7" s="52"/>
      <c r="G7" s="52"/>
      <c r="H7" s="52"/>
      <c r="I7" s="51"/>
    </row>
    <row r="8" customFormat="false" ht="18" hidden="false" customHeight="true" outlineLevel="0" collapsed="false">
      <c r="A8" s="19" t="str">
        <f aca="false">"BR"&amp;TEXT(ROW()-3,"000")</f>
        <v>BR005</v>
      </c>
      <c r="B8" s="52"/>
      <c r="C8" s="51"/>
      <c r="D8" s="51"/>
      <c r="E8" s="52"/>
      <c r="F8" s="52"/>
      <c r="G8" s="52"/>
      <c r="H8" s="52"/>
      <c r="I8" s="51"/>
    </row>
    <row r="9" customFormat="false" ht="18" hidden="false" customHeight="true" outlineLevel="0" collapsed="false">
      <c r="A9" s="19" t="str">
        <f aca="false">"BR"&amp;TEXT(ROW()-3,"000")</f>
        <v>BR006</v>
      </c>
      <c r="B9" s="52"/>
      <c r="C9" s="51"/>
      <c r="D9" s="51"/>
      <c r="E9" s="52"/>
      <c r="F9" s="52"/>
      <c r="G9" s="52"/>
      <c r="H9" s="52"/>
      <c r="I9" s="51"/>
    </row>
    <row r="10" customFormat="false" ht="18" hidden="false" customHeight="true" outlineLevel="0" collapsed="false">
      <c r="A10" s="19" t="str">
        <f aca="false">"BR"&amp;TEXT(ROW()-3,"000")</f>
        <v>BR007</v>
      </c>
      <c r="B10" s="52"/>
      <c r="C10" s="51"/>
      <c r="D10" s="51"/>
      <c r="E10" s="52"/>
      <c r="F10" s="52"/>
      <c r="G10" s="52"/>
      <c r="H10" s="52"/>
      <c r="I10" s="51"/>
    </row>
    <row r="11" customFormat="false" ht="18" hidden="false" customHeight="true" outlineLevel="0" collapsed="false">
      <c r="A11" s="19" t="str">
        <f aca="false">"BR"&amp;TEXT(ROW()-3,"000")</f>
        <v>BR008</v>
      </c>
      <c r="B11" s="52"/>
      <c r="C11" s="51"/>
      <c r="D11" s="51"/>
      <c r="E11" s="52"/>
      <c r="F11" s="52"/>
      <c r="G11" s="52"/>
      <c r="H11" s="52"/>
      <c r="I11" s="51"/>
    </row>
    <row r="12" customFormat="false" ht="18" hidden="false" customHeight="true" outlineLevel="0" collapsed="false">
      <c r="A12" s="19" t="str">
        <f aca="false">"BR"&amp;TEXT(ROW()-3,"000")</f>
        <v>BR009</v>
      </c>
      <c r="B12" s="52"/>
      <c r="C12" s="51"/>
      <c r="D12" s="51"/>
      <c r="E12" s="52"/>
      <c r="F12" s="52"/>
      <c r="G12" s="52"/>
      <c r="H12" s="52"/>
      <c r="I12" s="51"/>
    </row>
    <row r="13" customFormat="false" ht="18" hidden="false" customHeight="true" outlineLevel="0" collapsed="false">
      <c r="A13" s="19" t="str">
        <f aca="false">"BR"&amp;TEXT(ROW()-3,"000")</f>
        <v>BR010</v>
      </c>
      <c r="B13" s="52"/>
      <c r="C13" s="51"/>
      <c r="D13" s="51"/>
      <c r="E13" s="52"/>
      <c r="F13" s="52"/>
      <c r="G13" s="52"/>
      <c r="H13" s="52"/>
      <c r="I13" s="51"/>
    </row>
    <row r="14" customFormat="false" ht="18" hidden="false" customHeight="true" outlineLevel="0" collapsed="false">
      <c r="A14" s="19" t="str">
        <f aca="false">"BR"&amp;TEXT(ROW()-3,"000")</f>
        <v>BR011</v>
      </c>
      <c r="B14" s="52"/>
      <c r="C14" s="51"/>
      <c r="D14" s="51"/>
      <c r="E14" s="52"/>
      <c r="F14" s="52"/>
      <c r="G14" s="52"/>
      <c r="H14" s="52"/>
      <c r="I14" s="51"/>
    </row>
    <row r="15" customFormat="false" ht="18" hidden="false" customHeight="true" outlineLevel="0" collapsed="false">
      <c r="A15" s="19" t="str">
        <f aca="false">"BR"&amp;TEXT(ROW()-3,"000")</f>
        <v>BR012</v>
      </c>
      <c r="B15" s="52"/>
      <c r="C15" s="51"/>
      <c r="D15" s="51"/>
      <c r="E15" s="52"/>
      <c r="F15" s="52"/>
      <c r="G15" s="52"/>
      <c r="H15" s="52"/>
      <c r="I15" s="51"/>
    </row>
    <row r="16" customFormat="false" ht="18" hidden="false" customHeight="true" outlineLevel="0" collapsed="false">
      <c r="A16" s="19" t="str">
        <f aca="false">"BR"&amp;TEXT(ROW()-3,"000")</f>
        <v>BR013</v>
      </c>
      <c r="B16" s="52"/>
      <c r="C16" s="51"/>
      <c r="D16" s="51"/>
      <c r="E16" s="52"/>
      <c r="F16" s="52"/>
      <c r="G16" s="52"/>
      <c r="H16" s="52"/>
      <c r="I16" s="51"/>
    </row>
    <row r="17" customFormat="false" ht="18" hidden="false" customHeight="true" outlineLevel="0" collapsed="false">
      <c r="A17" s="19" t="str">
        <f aca="false">"BR"&amp;TEXT(ROW()-3,"000")</f>
        <v>BR014</v>
      </c>
      <c r="B17" s="52"/>
      <c r="C17" s="51"/>
      <c r="D17" s="51"/>
      <c r="E17" s="52"/>
      <c r="F17" s="52"/>
      <c r="G17" s="52"/>
      <c r="H17" s="52"/>
      <c r="I17" s="51"/>
    </row>
    <row r="18" customFormat="false" ht="18" hidden="false" customHeight="true" outlineLevel="0" collapsed="false">
      <c r="A18" s="19" t="str">
        <f aca="false">"BR"&amp;TEXT(ROW()-3,"000")</f>
        <v>BR015</v>
      </c>
      <c r="B18" s="52"/>
      <c r="C18" s="51"/>
      <c r="D18" s="51"/>
      <c r="E18" s="52"/>
      <c r="F18" s="52"/>
      <c r="G18" s="52"/>
      <c r="H18" s="52"/>
      <c r="I18" s="51"/>
    </row>
    <row r="19" customFormat="false" ht="18" hidden="false" customHeight="true" outlineLevel="0" collapsed="false">
      <c r="A19" s="19" t="str">
        <f aca="false">"BR"&amp;TEXT(ROW()-3,"000")</f>
        <v>BR016</v>
      </c>
      <c r="B19" s="52"/>
      <c r="C19" s="51"/>
      <c r="D19" s="51"/>
      <c r="E19" s="52"/>
      <c r="F19" s="52"/>
      <c r="G19" s="52"/>
      <c r="H19" s="52"/>
      <c r="I19" s="51"/>
    </row>
    <row r="20" customFormat="false" ht="18" hidden="false" customHeight="true" outlineLevel="0" collapsed="false">
      <c r="A20" s="19" t="str">
        <f aca="false">"BR"&amp;TEXT(ROW()-3,"000")</f>
        <v>BR017</v>
      </c>
      <c r="B20" s="52"/>
      <c r="C20" s="51"/>
      <c r="D20" s="51"/>
      <c r="E20" s="52"/>
      <c r="F20" s="52"/>
      <c r="G20" s="52"/>
      <c r="H20" s="52"/>
      <c r="I20" s="51"/>
    </row>
    <row r="21" customFormat="false" ht="18" hidden="false" customHeight="true" outlineLevel="0" collapsed="false">
      <c r="A21" s="19" t="str">
        <f aca="false">"BR"&amp;TEXT(ROW()-3,"000")</f>
        <v>BR018</v>
      </c>
      <c r="B21" s="52"/>
      <c r="C21" s="51"/>
      <c r="D21" s="51"/>
      <c r="E21" s="52"/>
      <c r="F21" s="52"/>
      <c r="G21" s="52"/>
      <c r="H21" s="52"/>
      <c r="I21" s="51"/>
    </row>
    <row r="22" customFormat="false" ht="18" hidden="false" customHeight="true" outlineLevel="0" collapsed="false">
      <c r="A22" s="19" t="str">
        <f aca="false">"BR"&amp;TEXT(ROW()-3,"000")</f>
        <v>BR019</v>
      </c>
      <c r="B22" s="52"/>
      <c r="C22" s="51"/>
      <c r="D22" s="51"/>
      <c r="E22" s="52"/>
      <c r="F22" s="52"/>
      <c r="G22" s="52"/>
      <c r="H22" s="52"/>
      <c r="I22" s="51"/>
    </row>
    <row r="23" customFormat="false" ht="18" hidden="false" customHeight="true" outlineLevel="0" collapsed="false">
      <c r="A23" s="19" t="str">
        <f aca="false">"BR"&amp;TEXT(ROW()-3,"000")</f>
        <v>BR020</v>
      </c>
      <c r="B23" s="52"/>
      <c r="C23" s="51"/>
      <c r="D23" s="51"/>
      <c r="E23" s="52"/>
      <c r="F23" s="52"/>
      <c r="G23" s="52"/>
      <c r="H23" s="52"/>
      <c r="I23" s="51"/>
    </row>
    <row r="24" customFormat="false" ht="18" hidden="false" customHeight="true" outlineLevel="0" collapsed="false">
      <c r="A24" s="19" t="str">
        <f aca="false">"BR"&amp;TEXT(ROW()-3,"000")</f>
        <v>BR021</v>
      </c>
      <c r="B24" s="52"/>
      <c r="C24" s="51"/>
      <c r="D24" s="51"/>
      <c r="E24" s="52"/>
      <c r="F24" s="52"/>
      <c r="G24" s="52"/>
      <c r="H24" s="52"/>
      <c r="I24" s="51"/>
    </row>
    <row r="25" customFormat="false" ht="18" hidden="false" customHeight="true" outlineLevel="0" collapsed="false">
      <c r="A25" s="19" t="str">
        <f aca="false">"BR"&amp;TEXT(ROW()-3,"000")</f>
        <v>BR022</v>
      </c>
      <c r="B25" s="52"/>
      <c r="C25" s="51"/>
      <c r="D25" s="51"/>
      <c r="E25" s="52"/>
      <c r="F25" s="52"/>
      <c r="G25" s="52"/>
      <c r="H25" s="52"/>
      <c r="I25" s="51"/>
    </row>
    <row r="26" customFormat="false" ht="18" hidden="false" customHeight="true" outlineLevel="0" collapsed="false">
      <c r="A26" s="19" t="str">
        <f aca="false">"BR"&amp;TEXT(ROW()-3,"000")</f>
        <v>BR023</v>
      </c>
      <c r="B26" s="52"/>
      <c r="C26" s="51"/>
      <c r="D26" s="51"/>
      <c r="E26" s="52"/>
      <c r="F26" s="52"/>
      <c r="G26" s="52"/>
      <c r="H26" s="52"/>
      <c r="I26" s="51"/>
    </row>
    <row r="27" customFormat="false" ht="18" hidden="false" customHeight="true" outlineLevel="0" collapsed="false">
      <c r="A27" s="19" t="str">
        <f aca="false">"BR"&amp;TEXT(ROW()-3,"000")</f>
        <v>BR024</v>
      </c>
      <c r="B27" s="52"/>
      <c r="C27" s="51"/>
      <c r="D27" s="51"/>
      <c r="E27" s="52"/>
      <c r="F27" s="52"/>
      <c r="G27" s="52"/>
      <c r="H27" s="52"/>
      <c r="I27" s="51"/>
    </row>
    <row r="28" customFormat="false" ht="18" hidden="false" customHeight="true" outlineLevel="0" collapsed="false">
      <c r="A28" s="19" t="str">
        <f aca="false">"BR"&amp;TEXT(ROW()-3,"000")</f>
        <v>BR025</v>
      </c>
      <c r="B28" s="52"/>
      <c r="C28" s="51"/>
      <c r="D28" s="51"/>
      <c r="E28" s="52"/>
      <c r="F28" s="52"/>
      <c r="G28" s="52"/>
      <c r="H28" s="52"/>
      <c r="I28" s="51"/>
    </row>
    <row r="29" customFormat="false" ht="18" hidden="false" customHeight="true" outlineLevel="0" collapsed="false">
      <c r="A29" s="19" t="str">
        <f aca="false">"BR"&amp;TEXT(ROW()-3,"000")</f>
        <v>BR026</v>
      </c>
      <c r="B29" s="52"/>
      <c r="C29" s="51"/>
      <c r="D29" s="51"/>
      <c r="E29" s="52"/>
      <c r="F29" s="52"/>
      <c r="G29" s="52"/>
      <c r="H29" s="52"/>
      <c r="I29" s="51"/>
    </row>
    <row r="30" customFormat="false" ht="18" hidden="false" customHeight="true" outlineLevel="0" collapsed="false">
      <c r="A30" s="19" t="str">
        <f aca="false">"BR"&amp;TEXT(ROW()-3,"000")</f>
        <v>BR027</v>
      </c>
      <c r="B30" s="52"/>
      <c r="C30" s="51"/>
      <c r="D30" s="51"/>
      <c r="E30" s="52"/>
      <c r="F30" s="52"/>
      <c r="G30" s="52"/>
      <c r="H30" s="52"/>
      <c r="I30" s="51"/>
    </row>
    <row r="31" customFormat="false" ht="18" hidden="false" customHeight="true" outlineLevel="0" collapsed="false">
      <c r="A31" s="19" t="str">
        <f aca="false">"BR"&amp;TEXT(ROW()-3,"000")</f>
        <v>BR028</v>
      </c>
      <c r="B31" s="52"/>
      <c r="C31" s="51"/>
      <c r="D31" s="51"/>
      <c r="E31" s="52"/>
      <c r="F31" s="52"/>
      <c r="G31" s="52"/>
      <c r="H31" s="52"/>
      <c r="I31" s="51"/>
    </row>
    <row r="32" customFormat="false" ht="18" hidden="false" customHeight="true" outlineLevel="0" collapsed="false">
      <c r="A32" s="19" t="str">
        <f aca="false">"BR"&amp;TEXT(ROW()-3,"000")</f>
        <v>BR029</v>
      </c>
      <c r="B32" s="52"/>
      <c r="C32" s="51"/>
      <c r="D32" s="51"/>
      <c r="E32" s="52"/>
      <c r="F32" s="52"/>
      <c r="G32" s="52"/>
      <c r="H32" s="52"/>
      <c r="I32" s="51"/>
    </row>
    <row r="33" customFormat="false" ht="18" hidden="false" customHeight="true" outlineLevel="0" collapsed="false">
      <c r="A33" s="19" t="str">
        <f aca="false">"BR"&amp;TEXT(ROW()-3,"000")</f>
        <v>BR030</v>
      </c>
      <c r="B33" s="52"/>
      <c r="C33" s="51"/>
      <c r="D33" s="51"/>
      <c r="E33" s="52"/>
      <c r="F33" s="52"/>
      <c r="G33" s="52"/>
      <c r="H33" s="52"/>
      <c r="I33" s="51"/>
    </row>
    <row r="34" customFormat="false" ht="18" hidden="false" customHeight="true" outlineLevel="0" collapsed="false">
      <c r="A34" s="19" t="str">
        <f aca="false">"BR"&amp;TEXT(ROW()-3,"000")</f>
        <v>BR031</v>
      </c>
      <c r="B34" s="52"/>
      <c r="C34" s="51"/>
      <c r="D34" s="51"/>
      <c r="E34" s="52"/>
      <c r="F34" s="52"/>
      <c r="G34" s="52"/>
      <c r="H34" s="52"/>
      <c r="I34" s="51"/>
    </row>
    <row r="35" customFormat="false" ht="18" hidden="false" customHeight="true" outlineLevel="0" collapsed="false">
      <c r="A35" s="19" t="str">
        <f aca="false">"BR"&amp;TEXT(ROW()-3,"000")</f>
        <v>BR032</v>
      </c>
      <c r="B35" s="52"/>
      <c r="C35" s="51"/>
      <c r="D35" s="51"/>
      <c r="E35" s="52"/>
      <c r="F35" s="52"/>
      <c r="G35" s="52"/>
      <c r="H35" s="52"/>
      <c r="I35" s="51"/>
    </row>
    <row r="36" customFormat="false" ht="18" hidden="false" customHeight="true" outlineLevel="0" collapsed="false">
      <c r="A36" s="19" t="str">
        <f aca="false">"BR"&amp;TEXT(ROW()-3,"000")</f>
        <v>BR033</v>
      </c>
      <c r="B36" s="52"/>
      <c r="C36" s="51"/>
      <c r="D36" s="51"/>
      <c r="E36" s="52"/>
      <c r="F36" s="52"/>
      <c r="G36" s="52"/>
      <c r="H36" s="52"/>
      <c r="I36" s="51"/>
    </row>
    <row r="37" customFormat="false" ht="18" hidden="false" customHeight="true" outlineLevel="0" collapsed="false">
      <c r="A37" s="19" t="str">
        <f aca="false">"BR"&amp;TEXT(ROW()-3,"000")</f>
        <v>BR034</v>
      </c>
      <c r="B37" s="52"/>
      <c r="C37" s="51"/>
      <c r="D37" s="51"/>
      <c r="E37" s="52"/>
      <c r="F37" s="52"/>
      <c r="G37" s="52"/>
      <c r="H37" s="52"/>
      <c r="I37" s="51"/>
    </row>
    <row r="38" customFormat="false" ht="18" hidden="false" customHeight="true" outlineLevel="0" collapsed="false">
      <c r="A38" s="19" t="str">
        <f aca="false">"BR"&amp;TEXT(ROW()-3,"000")</f>
        <v>BR035</v>
      </c>
      <c r="B38" s="52"/>
      <c r="C38" s="51"/>
      <c r="D38" s="51"/>
      <c r="E38" s="52"/>
      <c r="F38" s="52"/>
      <c r="G38" s="52"/>
      <c r="H38" s="52"/>
      <c r="I38" s="51"/>
    </row>
    <row r="39" customFormat="false" ht="18" hidden="false" customHeight="true" outlineLevel="0" collapsed="false">
      <c r="A39" s="19" t="str">
        <f aca="false">"BR"&amp;TEXT(ROW()-3,"000")</f>
        <v>BR036</v>
      </c>
      <c r="B39" s="52"/>
      <c r="C39" s="51"/>
      <c r="D39" s="51"/>
      <c r="E39" s="52"/>
      <c r="F39" s="52"/>
      <c r="G39" s="52"/>
      <c r="H39" s="52"/>
      <c r="I39" s="51"/>
    </row>
  </sheetData>
  <mergeCells count="1">
    <mergeCell ref="A1:I1"/>
  </mergeCells>
  <dataValidations count="2">
    <dataValidation allowBlank="true" errorStyle="stop" operator="between" showDropDown="false" showErrorMessage="false" showInputMessage="false" sqref="C5:C39" type="list">
      <formula1>"High,Medium,Low"</formula1>
      <formula2>0</formula2>
    </dataValidation>
    <dataValidation allowBlank="true" errorStyle="stop" operator="between" showDropDown="false" showErrorMessage="false" showInputMessage="false" sqref="I5:I39" type="list">
      <formula1>"Open,In Progress,Resolved,Closed"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2026-08-28T10:55:45Z</dcterms:created>
  <dc:creator>openpyxl</dc:creator>
  <dc:description/>
  <dc:language>en-US</dc:language>
  <cp:lastModifiedBy/>
  <dcterms:modified xsi:type="dcterms:W3CDTF">2026-08-28T10:55:45Z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