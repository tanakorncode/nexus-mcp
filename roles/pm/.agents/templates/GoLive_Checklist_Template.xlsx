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ำแนะนำ" sheetId="1" state="visible" r:id="rId3"/>
    <sheet name="Go-Live Checklis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<sst xmlns="http://schemas.openxmlformats.org/spreadsheetml/2006/main" count="81" uniqueCount="52">
  <si>
    <t xml:space="preserve">Go-Live Checklist Template</t>
  </si>
  <si>
    <t xml:space="preserve">เช็คลิสต์มาตรฐานก่อนนำระบบขึ้นใช้งานจริง (Go-Live) — ครอบคลุมประเด็นหลักที่มักถูกมองข้าม</t>
  </si>
  <si>
    <t xml:space="preserve">วิธีใช้งาน</t>
  </si>
  <si>
    <t xml:space="preserve">1. รายการในชีท "Go-Live Checklist" เป็นรายการมาตรฐานที่ใช้ได้กับโครงการทั่วไป — ลบ/เพิ่มรายการให้ตรงกับโครงการจริง</t>
  </si>
  <si>
    <t xml:space="preserve">2. กรอกผู้รับผิดชอบและวันที่เป้าหมายในช่องสีเหลือง</t>
  </si>
  <si>
    <t xml:space="preserve">3. อัปเดตคอลัมน์ Status เป็น Done เมื่อทำเสร็จ — ระบบจะคำนวณ % ความพร้อมให้อัตโนมัติในชีท Summary</t>
  </si>
  <si>
    <t xml:space="preserve">4. แนะนำให้ทุกรายการเป็น Done (หรือ N/A พร้อมเหตุผลในหมายเหตุ) ก่อนตัดสินใจ Go-Live จริง</t>
  </si>
  <si>
    <t xml:space="preserve">สัญลักษณ์ / คำอธิบาย</t>
  </si>
  <si>
    <t xml:space="preserve">      สีเหลือง = ช่องที่ต้องกรอกข้อมูลเอง (input cells)</t>
  </si>
  <si>
    <t xml:space="preserve">      เขียว = Done</t>
  </si>
  <si>
    <t xml:space="preserve">      เหลืองอำพัน = In Progress</t>
  </si>
  <si>
    <t xml:space="preserve">      แดง = Not Started</t>
  </si>
  <si>
    <t xml:space="preserve">No.</t>
  </si>
  <si>
    <t xml:space="preserve">Category</t>
  </si>
  <si>
    <t xml:space="preserve">Checklist Item</t>
  </si>
  <si>
    <t xml:space="preserve">Responsible</t>
  </si>
  <si>
    <t xml:space="preserve">Status</t>
  </si>
  <si>
    <t xml:space="preserve">Target Date</t>
  </si>
  <si>
    <t xml:space="preserve">Completed Date</t>
  </si>
  <si>
    <t xml:space="preserve">Remarks</t>
  </si>
  <si>
    <t xml:space="preserve">Infrastructure</t>
  </si>
  <si>
    <t xml:space="preserve">จัดเตรียม Production environment (server/hosting) พร้อมใช้งานจริง</t>
  </si>
  <si>
    <t xml:space="preserve">Not Started</t>
  </si>
  <si>
    <t xml:space="preserve">ตั้งค่า Domain / SSL Certificate เรียบร้อย</t>
  </si>
  <si>
    <t xml:space="preserve">ตั้งค่า Backup &amp; Restore ระบบอัตโนมัติ</t>
  </si>
  <si>
    <t xml:space="preserve">ทดสอบแผน Rollback กรณี Go-Live แล้วพบปัญหาร้ายแรง</t>
  </si>
  <si>
    <t xml:space="preserve">Data</t>
  </si>
  <si>
    <t xml:space="preserve">Migrate ข้อมูลจากระบบเดิม (ถ้ามี) และตรวจสอบความถูกต้องครบถ้วน</t>
  </si>
  <si>
    <t xml:space="preserve">สำรองข้อมูล (Backup) ก่อน Go-Live เรียบร้อย</t>
  </si>
  <si>
    <t xml:space="preserve">Security</t>
  </si>
  <si>
    <t xml:space="preserve">ตรวจสอบสิทธิ์การเข้าถึงระบบ (Access Control) ของผู้ใช้งานจริง</t>
  </si>
  <si>
    <t xml:space="preserve">ปิด/ลบบัญชีทดสอบ (Test Account) และข้อมูลทดสอบออกจาก Production</t>
  </si>
  <si>
    <t xml:space="preserve">Testing</t>
  </si>
  <si>
    <t xml:space="preserve">UAT ผ่านและมีการลงนามรับรองผลแล้ว (UAT Sign-off)</t>
  </si>
  <si>
    <t xml:space="preserve">Smoke Test บน Production environment ผ่านทุกรายการหลัก</t>
  </si>
  <si>
    <t xml:space="preserve">Monitoring &amp; Support</t>
  </si>
  <si>
    <t xml:space="preserve">ตั้งค่าระบบ Monitoring / Alert สำหรับ Production</t>
  </si>
  <si>
    <t xml:space="preserve">จัดทีม Support พร้อมรับเรื่องช่วงหลัง Go-Live (Hypercare)</t>
  </si>
  <si>
    <t xml:space="preserve">จัดทำเอกสาร Runbook / คู่มือแก้ปัญหาเบื้องต้น</t>
  </si>
  <si>
    <t xml:space="preserve">Training &amp; Communication</t>
  </si>
  <si>
    <t xml:space="preserve">อบรมผู้ใช้งาน/ผู้ดูแลระบบ (Admin) เรียบร้อย</t>
  </si>
  <si>
    <t xml:space="preserve">แจ้งผู้ใช้งานและผู้มีส่วนเกี่ยวข้องล่วงหน้าถึงกำหนดการ Go-Live</t>
  </si>
  <si>
    <t xml:space="preserve">จัดประชุม Go/No-Go decision ก่อนวัน Go-Live จริง</t>
  </si>
  <si>
    <t xml:space="preserve">Go-Live Readiness Summary</t>
  </si>
  <si>
    <t xml:space="preserve">สถานะ</t>
  </si>
  <si>
    <t xml:space="preserve">จำนวน</t>
  </si>
  <si>
    <t xml:space="preserve">Total Items</t>
  </si>
  <si>
    <t xml:space="preserve">Done</t>
  </si>
  <si>
    <t xml:space="preserve">In Progress</t>
  </si>
  <si>
    <t xml:space="preserve">N/A</t>
  </si>
  <si>
    <t xml:space="preserve">% Readiness</t>
  </si>
  <si>
    <t xml:space="preserve">% Readiness = Done / (Total - N/A) — คำนวณจากสูตร COUNTIF/COUNTA อัตโนมัติ ไม่รวมรายการที่ไม่เกี่ยวข้อง (N/A)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</si>
</sst>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EBE7F1"/>
      </patternFill>
    </fill>
    <fill>
      <patternFill patternType="solid">
        <fgColor rgb="FFFFC7CE"/>
        <bgColor rgb="FFD9D9D9"/>
      </patternFill>
    </fill>
    <fill>
      <patternFill patternType="solid">
        <fgColor rgb="FF1F4E78"/>
        <bgColor rgb="FF003366"/>
      </patternFill>
    </fill>
    <fill>
      <patternFill patternType="solid">
        <fgColor rgb="FFEBE7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BE7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Go-Live Checklist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Summary!$A$4:$A$8</c:f>
              <c:strCache>
                <c:ptCount val="5"/>
                <c:pt idx="0">
                  <c:v>Total Items</c:v>
                </c:pt>
                <c:pt idx="1">
                  <c:v>Done</c:v>
                </c:pt>
                <c:pt idx="2">
                  <c:v>In Progress</c:v>
                </c:pt>
                <c:pt idx="3">
                  <c:v>Not Started</c:v>
                </c:pt>
                <c:pt idx="4">
                  <c:v>N/A</c:v>
                </c:pt>
              </c:strCache>
            </c:strRef>
          </c:cat>
          <c:val>
            <c:numRef>
              <c:f>Summary!$B$4:$B$8</c:f>
              <c:numCache>
                <c:formatCode>General</c:formatCode>
                <c:ptCount val="5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6242546"/>
        <c:axId val="91879509"/>
      </c:barChart>
      <c:catAx>
        <c:axId val="662425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879509"/>
        <c:crosses val="autoZero"/>
        <c:auto val="1"/>
        <c:lblAlgn val="ctr"/>
        <c:lblOffset val="100"/>
        <c:noMultiLvlLbl val="0"/>
      </c:catAx>
      <c:valAx>
        <c:axId val="918795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242546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10</xdr:col>
      <xdr:colOff>399240</xdr:colOff>
      <xdr:row>14</xdr:row>
      <xdr:rowOff>43200</xdr:rowOff>
    </xdr:to>
    <xdr:graphicFrame>
      <xdr:nvGraphicFramePr>
        <xdr:cNvPr id="1" name="Chart 1"/>
        <xdr:cNvGraphicFramePr/>
      </xdr:nvGraphicFramePr>
      <xdr:xfrm>
        <a:off x="2585160" y="41076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23.85" hidden="false" customHeight="false" outlineLevel="0" collapsed="false">
      <c r="B9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6" t="s">
        <v>9</v>
      </c>
    </row>
    <row r="14" customFormat="false" ht="15" hidden="false" customHeight="false" outlineLevel="0" collapsed="false">
      <c r="B14" s="7" t="s">
        <v>10</v>
      </c>
    </row>
    <row r="15" customFormat="false" ht="15" hidden="false" customHeight="false" outlineLevel="0" collapsed="false">
      <c r="B15" s="8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</row>
    <row r="2" customFormat="false" ht="25.5" hidden="false" customHeight="true" outlineLevel="0" collapsed="false">
      <c r="A2" s="10" t="n">
        <f aca="false">ROW()-1</f>
        <v>1</v>
      </c>
      <c r="B2" s="10" t="s">
        <v>20</v>
      </c>
      <c r="C2" s="10" t="s">
        <v>21</v>
      </c>
      <c r="D2" s="11"/>
      <c r="E2" s="11" t="s">
        <v>22</v>
      </c>
      <c r="F2" s="11"/>
      <c r="G2" s="11"/>
      <c r="H2" s="11"/>
    </row>
    <row r="3" customFormat="false" ht="25.5" hidden="false" customHeight="true" outlineLevel="0" collapsed="false">
      <c r="A3" s="10" t="n">
        <f aca="false">ROW()-1</f>
        <v>2</v>
      </c>
      <c r="B3" s="10" t="s">
        <v>20</v>
      </c>
      <c r="C3" s="10" t="s">
        <v>23</v>
      </c>
      <c r="D3" s="11"/>
      <c r="E3" s="11" t="s">
        <v>22</v>
      </c>
      <c r="F3" s="11"/>
      <c r="G3" s="11"/>
      <c r="H3" s="11"/>
    </row>
    <row r="4" customFormat="false" ht="25.5" hidden="false" customHeight="true" outlineLevel="0" collapsed="false">
      <c r="A4" s="10" t="n">
        <f aca="false">ROW()-1</f>
        <v>3</v>
      </c>
      <c r="B4" s="10" t="s">
        <v>20</v>
      </c>
      <c r="C4" s="10" t="s">
        <v>24</v>
      </c>
      <c r="D4" s="11"/>
      <c r="E4" s="11" t="s">
        <v>22</v>
      </c>
      <c r="F4" s="11"/>
      <c r="G4" s="11"/>
      <c r="H4" s="11"/>
    </row>
    <row r="5" customFormat="false" ht="25.5" hidden="false" customHeight="true" outlineLevel="0" collapsed="false">
      <c r="A5" s="10" t="n">
        <f aca="false">ROW()-1</f>
        <v>4</v>
      </c>
      <c r="B5" s="10" t="s">
        <v>20</v>
      </c>
      <c r="C5" s="10" t="s">
        <v>25</v>
      </c>
      <c r="D5" s="11"/>
      <c r="E5" s="11" t="s">
        <v>22</v>
      </c>
      <c r="F5" s="11"/>
      <c r="G5" s="11"/>
      <c r="H5" s="11"/>
    </row>
    <row r="6" customFormat="false" ht="25.5" hidden="false" customHeight="true" outlineLevel="0" collapsed="false">
      <c r="A6" s="10" t="n">
        <f aca="false">ROW()-1</f>
        <v>5</v>
      </c>
      <c r="B6" s="10" t="s">
        <v>26</v>
      </c>
      <c r="C6" s="10" t="s">
        <v>27</v>
      </c>
      <c r="D6" s="11"/>
      <c r="E6" s="11" t="s">
        <v>22</v>
      </c>
      <c r="F6" s="11"/>
      <c r="G6" s="11"/>
      <c r="H6" s="11"/>
    </row>
    <row r="7" customFormat="false" ht="25.5" hidden="false" customHeight="true" outlineLevel="0" collapsed="false">
      <c r="A7" s="10" t="n">
        <f aca="false">ROW()-1</f>
        <v>6</v>
      </c>
      <c r="B7" s="10" t="s">
        <v>26</v>
      </c>
      <c r="C7" s="10" t="s">
        <v>28</v>
      </c>
      <c r="D7" s="11"/>
      <c r="E7" s="11" t="s">
        <v>22</v>
      </c>
      <c r="F7" s="11"/>
      <c r="G7" s="11"/>
      <c r="H7" s="11"/>
    </row>
    <row r="8" customFormat="false" ht="25.5" hidden="false" customHeight="true" outlineLevel="0" collapsed="false">
      <c r="A8" s="10" t="n">
        <f aca="false">ROW()-1</f>
        <v>7</v>
      </c>
      <c r="B8" s="10" t="s">
        <v>29</v>
      </c>
      <c r="C8" s="10" t="s">
        <v>30</v>
      </c>
      <c r="D8" s="11"/>
      <c r="E8" s="11" t="s">
        <v>22</v>
      </c>
      <c r="F8" s="11"/>
      <c r="G8" s="11"/>
      <c r="H8" s="11"/>
    </row>
    <row r="9" customFormat="false" ht="25.5" hidden="false" customHeight="true" outlineLevel="0" collapsed="false">
      <c r="A9" s="10" t="n">
        <f aca="false">ROW()-1</f>
        <v>8</v>
      </c>
      <c r="B9" s="10" t="s">
        <v>29</v>
      </c>
      <c r="C9" s="10" t="s">
        <v>31</v>
      </c>
      <c r="D9" s="11"/>
      <c r="E9" s="11" t="s">
        <v>22</v>
      </c>
      <c r="F9" s="11"/>
      <c r="G9" s="11"/>
      <c r="H9" s="11"/>
    </row>
    <row r="10" customFormat="false" ht="25.5" hidden="false" customHeight="true" outlineLevel="0" collapsed="false">
      <c r="A10" s="10" t="n">
        <f aca="false">ROW()-1</f>
        <v>9</v>
      </c>
      <c r="B10" s="10" t="s">
        <v>32</v>
      </c>
      <c r="C10" s="10" t="s">
        <v>33</v>
      </c>
      <c r="D10" s="11"/>
      <c r="E10" s="11" t="s">
        <v>22</v>
      </c>
      <c r="F10" s="11"/>
      <c r="G10" s="11"/>
      <c r="H10" s="11"/>
    </row>
    <row r="11" customFormat="false" ht="25.5" hidden="false" customHeight="true" outlineLevel="0" collapsed="false">
      <c r="A11" s="10" t="n">
        <f aca="false">ROW()-1</f>
        <v>10</v>
      </c>
      <c r="B11" s="10" t="s">
        <v>32</v>
      </c>
      <c r="C11" s="10" t="s">
        <v>34</v>
      </c>
      <c r="D11" s="11"/>
      <c r="E11" s="11" t="s">
        <v>22</v>
      </c>
      <c r="F11" s="11"/>
      <c r="G11" s="11"/>
      <c r="H11" s="11"/>
    </row>
    <row r="12" customFormat="false" ht="25.5" hidden="false" customHeight="true" outlineLevel="0" collapsed="false">
      <c r="A12" s="10" t="n">
        <f aca="false">ROW()-1</f>
        <v>11</v>
      </c>
      <c r="B12" s="10" t="s">
        <v>35</v>
      </c>
      <c r="C12" s="10" t="s">
        <v>36</v>
      </c>
      <c r="D12" s="11"/>
      <c r="E12" s="11" t="s">
        <v>22</v>
      </c>
      <c r="F12" s="11"/>
      <c r="G12" s="11"/>
      <c r="H12" s="11"/>
    </row>
    <row r="13" customFormat="false" ht="25.5" hidden="false" customHeight="true" outlineLevel="0" collapsed="false">
      <c r="A13" s="10" t="n">
        <f aca="false">ROW()-1</f>
        <v>12</v>
      </c>
      <c r="B13" s="10" t="s">
        <v>35</v>
      </c>
      <c r="C13" s="10" t="s">
        <v>37</v>
      </c>
      <c r="D13" s="11"/>
      <c r="E13" s="11" t="s">
        <v>22</v>
      </c>
      <c r="F13" s="11"/>
      <c r="G13" s="11"/>
      <c r="H13" s="11"/>
    </row>
    <row r="14" customFormat="false" ht="25.5" hidden="false" customHeight="true" outlineLevel="0" collapsed="false">
      <c r="A14" s="10" t="n">
        <f aca="false">ROW()-1</f>
        <v>13</v>
      </c>
      <c r="B14" s="10" t="s">
        <v>35</v>
      </c>
      <c r="C14" s="10" t="s">
        <v>38</v>
      </c>
      <c r="D14" s="11"/>
      <c r="E14" s="11" t="s">
        <v>22</v>
      </c>
      <c r="F14" s="11"/>
      <c r="G14" s="11"/>
      <c r="H14" s="11"/>
    </row>
    <row r="15" customFormat="false" ht="25.5" hidden="false" customHeight="true" outlineLevel="0" collapsed="false">
      <c r="A15" s="10" t="n">
        <f aca="false">ROW()-1</f>
        <v>14</v>
      </c>
      <c r="B15" s="10" t="s">
        <v>39</v>
      </c>
      <c r="C15" s="10" t="s">
        <v>40</v>
      </c>
      <c r="D15" s="11"/>
      <c r="E15" s="11" t="s">
        <v>22</v>
      </c>
      <c r="F15" s="11"/>
      <c r="G15" s="11"/>
      <c r="H15" s="11"/>
    </row>
    <row r="16" customFormat="false" ht="25.5" hidden="false" customHeight="true" outlineLevel="0" collapsed="false">
      <c r="A16" s="10" t="n">
        <f aca="false">ROW()-1</f>
        <v>15</v>
      </c>
      <c r="B16" s="10" t="s">
        <v>39</v>
      </c>
      <c r="C16" s="10" t="s">
        <v>41</v>
      </c>
      <c r="D16" s="11"/>
      <c r="E16" s="11" t="s">
        <v>22</v>
      </c>
      <c r="F16" s="11"/>
      <c r="G16" s="11"/>
      <c r="H16" s="11"/>
    </row>
    <row r="17" customFormat="false" ht="25.5" hidden="false" customHeight="true" outlineLevel="0" collapsed="false">
      <c r="A17" s="10" t="n">
        <f aca="false">ROW()-1</f>
        <v>16</v>
      </c>
      <c r="B17" s="10" t="s">
        <v>39</v>
      </c>
      <c r="C17" s="10" t="s">
        <v>42</v>
      </c>
      <c r="D17" s="11"/>
      <c r="E17" s="11" t="s">
        <v>22</v>
      </c>
      <c r="F17" s="11"/>
      <c r="G17" s="11"/>
      <c r="H17" s="11"/>
    </row>
    <row r="18" customFormat="false" ht="25.5" hidden="false" customHeight="true" outlineLevel="0" collapsed="false">
      <c r="A18" s="10" t="n">
        <f aca="false">ROW()-1</f>
        <v>17</v>
      </c>
      <c r="B18" s="12"/>
      <c r="C18" s="12"/>
      <c r="D18" s="12"/>
      <c r="E18" s="13" t="s">
        <v>22</v>
      </c>
      <c r="F18" s="12"/>
      <c r="G18" s="12"/>
      <c r="H18" s="12"/>
    </row>
    <row r="19" customFormat="false" ht="25.5" hidden="false" customHeight="true" outlineLevel="0" collapsed="false">
      <c r="A19" s="10" t="n">
        <f aca="false">ROW()-1</f>
        <v>18</v>
      </c>
      <c r="B19" s="12"/>
      <c r="C19" s="12"/>
      <c r="D19" s="12"/>
      <c r="E19" s="13" t="s">
        <v>22</v>
      </c>
      <c r="F19" s="12"/>
      <c r="G19" s="12"/>
      <c r="H19" s="12"/>
    </row>
    <row r="20" customFormat="false" ht="25.5" hidden="false" customHeight="true" outlineLevel="0" collapsed="false">
      <c r="A20" s="10" t="n">
        <f aca="false">ROW()-1</f>
        <v>19</v>
      </c>
      <c r="B20" s="12"/>
      <c r="C20" s="12"/>
      <c r="D20" s="12"/>
      <c r="E20" s="13" t="s">
        <v>22</v>
      </c>
      <c r="F20" s="12"/>
      <c r="G20" s="12"/>
      <c r="H20" s="12"/>
    </row>
  </sheetData>
  <conditionalFormatting sqref="E2:E2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"Not Started"</formula>
    </cfRule>
  </conditionalFormatting>
  <dataValidations count="1">
    <dataValidation allowBlank="true" errorStyle="stop" operator="between" showDropDown="false" showErrorMessage="false" showInputMessage="false" sqref="E2:E20" type="list">
      <formula1>"Not Started,In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4" t="s">
        <v>43</v>
      </c>
      <c r="B1" s="14"/>
    </row>
    <row r="3" customFormat="false" ht="15" hidden="false" customHeight="false" outlineLevel="0" collapsed="false">
      <c r="A3" s="15" t="s">
        <v>44</v>
      </c>
      <c r="B3" s="15" t="s">
        <v>45</v>
      </c>
    </row>
    <row r="4" customFormat="false" ht="15" hidden="false" customHeight="false" outlineLevel="0" collapsed="false">
      <c r="A4" s="16" t="s">
        <v>46</v>
      </c>
      <c r="B4" s="17" t="n">
        <f aca="false">COUNTA('Go-Live Checklist'!A2:A20)</f>
        <v>19</v>
      </c>
    </row>
    <row r="5" customFormat="false" ht="15" hidden="false" customHeight="false" outlineLevel="0" collapsed="false">
      <c r="A5" s="18" t="s">
        <v>47</v>
      </c>
      <c r="B5" s="19" t="n">
        <f aca="false">COUNTIF('Go-Live Checklist'!E2:E20,"Done")</f>
        <v>0</v>
      </c>
    </row>
    <row r="6" customFormat="false" ht="15" hidden="false" customHeight="false" outlineLevel="0" collapsed="false">
      <c r="A6" s="18" t="s">
        <v>48</v>
      </c>
      <c r="B6" s="19" t="n">
        <f aca="false">COUNTIF('Go-Live Checklist'!E2:E20,"In Progress")</f>
        <v>0</v>
      </c>
    </row>
    <row r="7" customFormat="false" ht="15" hidden="false" customHeight="false" outlineLevel="0" collapsed="false">
      <c r="A7" s="18" t="s">
        <v>22</v>
      </c>
      <c r="B7" s="19" t="n">
        <f aca="false">COUNTIF('Go-Live Checklist'!E2:E20,"Not Started")</f>
        <v>19</v>
      </c>
    </row>
    <row r="8" customFormat="false" ht="15" hidden="false" customHeight="false" outlineLevel="0" collapsed="false">
      <c r="A8" s="18" t="s">
        <v>49</v>
      </c>
      <c r="B8" s="19" t="n">
        <f aca="false">COUNTIF('Go-Live Checklist'!E2:E20,"N/A")</f>
        <v>0</v>
      </c>
    </row>
    <row r="10" customFormat="false" ht="15" hidden="false" customHeight="false" outlineLevel="0" collapsed="false">
      <c r="A10" s="20" t="s">
        <v>50</v>
      </c>
      <c r="B10" s="21" t="n">
        <f aca="false">IFERROR(B5/(B4-B8),0)</f>
        <v>0</v>
      </c>
    </row>
    <row r="12" customFormat="false" ht="30" hidden="false" customHeight="true" outlineLevel="0" collapsed="false">
      <c r="A12" s="22" t="s">
        <v>51</v>
      </c>
      <c r="B12" s="22"/>
      <c r="C12" s="22"/>
      <c r="D12" s="22"/>
    </row>
  </sheetData>
  <mergeCells count="2">
    <mergeCell ref="A1:B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2026-08-28T12:34:29Z</dcterms:created>
  <dc:creator>openpyxl</dc:creator>
  <dc:description/>
  <dc:language>en-US</dc:language>
  <cp:lastModifiedBy/>
  <dcterms:modified xsi:type="dcterms:W3CDTF">2026-08-28T19:34:36Z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